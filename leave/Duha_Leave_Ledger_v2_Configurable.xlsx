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onfig" sheetId="1" r:id="rId1"/>
    <sheet name="Leave Records" sheetId="2" r:id="rId2"/>
    <sheet name="Leave Summary" sheetId="3" r:id="rId3"/>
    <sheet name="Monthly Breakdown" sheetId="4" r:id="rId4"/>
  </sheets>
  <definedNames>
    <definedName name="_xlnm._FilterDatabase" localSheetId="1" hidden="1">'Leave Records'!$A$3:$K$309</definedName>
    <definedName name="_xlnm._FilterDatabase" localSheetId="2" hidden="1">'Leave Summary'!$A$4:$X$105</definedName>
    <definedName name="_xlnm._FilterDatabase">'Leave Summary'!$A$4:$X$105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<sst xmlns="http://schemas.openxmlformats.org/spreadsheetml/2006/main" count="513" uniqueCount="175">
  <si>
    <t>DUHA INTERNATIONAL SCHOOL — CONFIGURATION PANEL</t>
  </si>
  <si>
    <t>INSTRUCTIONS: (1) Staff Roster — add/remove staff rows freely. (2) Leave Types — add/remove leave types and set annual days. Max 5 types. (3) Settings — change Report Year only. Blue cells are auto-filled. Yellow cells are editable.</t>
  </si>
  <si>
    <t>STAFF ROSTER</t>
  </si>
  <si>
    <t>LEAVE TYPES</t>
  </si>
  <si>
    <t>SETTINGS</t>
  </si>
  <si>
    <t>Add or remove staff rows. Delete row content to remove a staff member.</t>
  </si>
  <si>
    <t>Add/remove leave types. Annual Days = days allowed per year.</t>
  </si>
  <si>
    <t>Change Report Year to switch annual view in Monthly Breakdown.</t>
  </si>
  <si>
    <t>#</t>
  </si>
  <si>
    <t>Staff Name</t>
  </si>
  <si>
    <t>Designation</t>
  </si>
  <si>
    <t>Leave Type Name</t>
  </si>
  <si>
    <t>Annual Days</t>
  </si>
  <si>
    <t>Setting</t>
  </si>
  <si>
    <t>Value</t>
  </si>
  <si>
    <t>Hasan Mahmud</t>
  </si>
  <si>
    <t>Director</t>
  </si>
  <si>
    <t>Casual Leave</t>
  </si>
  <si>
    <t>Report Year</t>
  </si>
  <si>
    <t>Hasina Mohammed</t>
  </si>
  <si>
    <t>Principal</t>
  </si>
  <si>
    <t>Special Leave</t>
  </si>
  <si>
    <t>School Name</t>
  </si>
  <si>
    <t>Duha International School</t>
  </si>
  <si>
    <t>Nusrat Jahan Ira</t>
  </si>
  <si>
    <t/>
  </si>
  <si>
    <t>Prepared By</t>
  </si>
  <si>
    <t>Principal / Admin</t>
  </si>
  <si>
    <t>Sadia Sultana Rima</t>
  </si>
  <si>
    <t>Preschool Co-ordinator</t>
  </si>
  <si>
    <t>Fatema Akter Mili</t>
  </si>
  <si>
    <t>Farida Yesmin Tamanna</t>
  </si>
  <si>
    <t>↑ Max 5 leave types.</t>
  </si>
  <si>
    <t>Shalina Akter Eity</t>
  </si>
  <si>
    <t>Rabia Sultana Prity</t>
  </si>
  <si>
    <t>Class Teacher</t>
  </si>
  <si>
    <t>Afrin Jahan Uzma</t>
  </si>
  <si>
    <t>Lead Teacher</t>
  </si>
  <si>
    <t>Ariful Islam Maruf</t>
  </si>
  <si>
    <t>Jinat Farhana Chy</t>
  </si>
  <si>
    <t>Asst. Co-ord. (Pre-School)</t>
  </si>
  <si>
    <t>Tabassuma Barat Chowdhury</t>
  </si>
  <si>
    <t>Primary Co-ordinator</t>
  </si>
  <si>
    <t>Sumaya Rahman</t>
  </si>
  <si>
    <t>Asst. Co-ord. (Secondary)</t>
  </si>
  <si>
    <t>Warda Siraj</t>
  </si>
  <si>
    <t>Head Of BC</t>
  </si>
  <si>
    <t>Irfan Hossain</t>
  </si>
  <si>
    <t>Mohoshina Shifa Buble</t>
  </si>
  <si>
    <t>Teacher's Assistant</t>
  </si>
  <si>
    <t>Sadia Akter Lubna</t>
  </si>
  <si>
    <t>Taslima Akter</t>
  </si>
  <si>
    <t>Subject Teacher (IC)</t>
  </si>
  <si>
    <t>Samiya Hashem</t>
  </si>
  <si>
    <t>Humaira Tasnim</t>
  </si>
  <si>
    <t>Aziza Sultana</t>
  </si>
  <si>
    <t>Farhana Yesmin</t>
  </si>
  <si>
    <t>Kamrun Nahar</t>
  </si>
  <si>
    <t>Tashmem Al Faed</t>
  </si>
  <si>
    <t>Subject Teacher</t>
  </si>
  <si>
    <t>Md Murad Hoshen</t>
  </si>
  <si>
    <t>IC Co-ordinator</t>
  </si>
  <si>
    <t>Najmul Haque Masum</t>
  </si>
  <si>
    <t>Rahnuman Nesa Chowdhury</t>
  </si>
  <si>
    <t>Othora Nausin Jafrin</t>
  </si>
  <si>
    <t>Assistant Teacher</t>
  </si>
  <si>
    <t>Md Rahat Chy</t>
  </si>
  <si>
    <t>Sania Rahman</t>
  </si>
  <si>
    <t>Jaharin Subah</t>
  </si>
  <si>
    <t>Afroza Akter</t>
  </si>
  <si>
    <t>Ummay Hani Juthi</t>
  </si>
  <si>
    <t>Tanzina Haque</t>
  </si>
  <si>
    <t>Tahsina Tarannum</t>
  </si>
  <si>
    <t>Mohammad Arafat Ul Alam</t>
  </si>
  <si>
    <t>Md Kawser Hussain Rasel</t>
  </si>
  <si>
    <t>Md. Mainuddin</t>
  </si>
  <si>
    <t>Sumaiya Nusrat Pushpo</t>
  </si>
  <si>
    <t>Ismat Tasnia</t>
  </si>
  <si>
    <t>Ayesha Siddika Ruba</t>
  </si>
  <si>
    <t>Jannatur Rahman</t>
  </si>
  <si>
    <t>Sultana Yasmin Geeti</t>
  </si>
  <si>
    <t>Shaila Parvin</t>
  </si>
  <si>
    <t>Ashik Bhuiyan</t>
  </si>
  <si>
    <t>Md Helal Uddin</t>
  </si>
  <si>
    <t>Shahida</t>
  </si>
  <si>
    <t>Rabeya Rima</t>
  </si>
  <si>
    <t>Moyna</t>
  </si>
  <si>
    <t>Rohima</t>
  </si>
  <si>
    <t>Sharmin</t>
  </si>
  <si>
    <t>Nargis Akter</t>
  </si>
  <si>
    <t>Sanjida Islam</t>
  </si>
  <si>
    <t>↑ Add new staff in rows above. Maximum 100.</t>
  </si>
  <si>
    <t>DUHA INTERNATIONAL SCHOOL — LEAVE RECORDS</t>
  </si>
  <si>
    <t>FILL IN (white cells): Staff Name ▼  Leave Type ▼  Reason  From Date  To Date  Days  Request Date  Status ▼     |     AUTO-FILLED (blue cells): SL#  Designation  Month</t>
  </si>
  <si>
    <t>SL#</t>
  </si>
  <si>
    <t>Leave Type</t>
  </si>
  <si>
    <t>Reason</t>
  </si>
  <si>
    <t>From Date</t>
  </si>
  <si>
    <t>To Date</t>
  </si>
  <si>
    <t>Month</t>
  </si>
  <si>
    <t>Days</t>
  </si>
  <si>
    <t>Request Date</t>
  </si>
  <si>
    <t>Status</t>
  </si>
  <si>
    <t>March CL</t>
  </si>
  <si>
    <t>Approved</t>
  </si>
  <si>
    <t>Appointment</t>
  </si>
  <si>
    <t>Cancelled</t>
  </si>
  <si>
    <t>Family emergency</t>
  </si>
  <si>
    <t>-</t>
  </si>
  <si>
    <t>MA final examination</t>
  </si>
  <si>
    <t>Health condition / fever</t>
  </si>
  <si>
    <t>Endoscopy &amp; medical tests</t>
  </si>
  <si>
    <t>Family program</t>
  </si>
  <si>
    <t>Family need</t>
  </si>
  <si>
    <t>Early leave</t>
  </si>
  <si>
    <t>Test</t>
  </si>
  <si>
    <t>Fever and Low BP</t>
  </si>
  <si>
    <t>Absent on 17th counted as CL</t>
  </si>
  <si>
    <t>Absent on 21st counted as CL</t>
  </si>
  <si>
    <t>Illness</t>
  </si>
  <si>
    <t>Absent on 10th counted as CL</t>
  </si>
  <si>
    <t>Absent on 11th counted as CL</t>
  </si>
  <si>
    <t>High fever / tonsillitis</t>
  </si>
  <si>
    <t>Severe sickness</t>
  </si>
  <si>
    <t>Outside Chittagong (urgent)</t>
  </si>
  <si>
    <t>Sick (early leave 11:10 AM)</t>
  </si>
  <si>
    <t>Absent on 3rd counted as CL</t>
  </si>
  <si>
    <t>Absent on 14th counted as CL</t>
  </si>
  <si>
    <t>Absent on 19th counted as CL</t>
  </si>
  <si>
    <t>Exam</t>
  </si>
  <si>
    <t>Master's Exam (early leave)</t>
  </si>
  <si>
    <t>Half day (both days)</t>
  </si>
  <si>
    <t>Severe headache / cold / blurry vision</t>
  </si>
  <si>
    <t>Migraine (early leave)</t>
  </si>
  <si>
    <t>Flight delayed (overseas)</t>
  </si>
  <si>
    <t>Eye infection</t>
  </si>
  <si>
    <t>Mother sick</t>
  </si>
  <si>
    <t>Injured hip (accidental fall)</t>
  </si>
  <si>
    <t>Food poisoning</t>
  </si>
  <si>
    <t>Sick (after taking all classes)</t>
  </si>
  <si>
    <t>Sickness</t>
  </si>
  <si>
    <t>Absent on 12th counted as CL</t>
  </si>
  <si>
    <t>Personal emergency</t>
  </si>
  <si>
    <t>Family issue</t>
  </si>
  <si>
    <t>← 300 rows pre-formatted above. Insert rows before this line to add more.</t>
  </si>
  <si>
    <t>My grandfather was sick a few month sudden he left..</t>
  </si>
  <si>
    <t>Tonsil infections and fever.</t>
  </si>
  <si>
    <t>My mother is sick</t>
  </si>
  <si>
    <t>DUHA INTERNATIONAL SCHOOL — LEAVE SUMMARY</t>
  </si>
  <si>
    <t>READ ONLY — Auto-calculated from 'Leave Records'. To add staff: edit Config sheet.  To add leave entries: edit Leave Records sheet.</t>
  </si>
  <si>
    <t>SL</t>
  </si>
  <si>
    <t>Grand Total
Approved</t>
  </si>
  <si>
    <t>Annual
Allot.</t>
  </si>
  <si>
    <t>Days
Approved</t>
  </si>
  <si>
    <t>Days
Pending</t>
  </si>
  <si>
    <t>Balance
(Allot-Apprv)</t>
  </si>
  <si>
    <t>Total
Approved</t>
  </si>
  <si>
    <t>SCHOOL TOTALS</t>
  </si>
  <si>
    <t>DUHA INTERNATIONAL SCHOOL — MONTHLY LEAVE BREAKDOWN</t>
  </si>
  <si>
    <t>READ ONLY — Approved leave days per month, all types combined. Report Year is set in Config sheet (cell I7). Currently: 2026  |  Change Config!I7 to update all month formulas automatically.</t>
  </si>
  <si>
    <t>Staff</t>
  </si>
  <si>
    <t>Monthly Approved Leave Days  (Year auto-reads from Config!I7)</t>
  </si>
  <si>
    <t>Year
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</si>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</sst>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yy"/>
  </numFmts>
  <fonts count="35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8"/>
      <color rgb="FF9C0006"/>
      <name val="Arial"/>
      <charset val="134"/>
    </font>
    <font>
      <b/>
      <sz val="9"/>
      <color rgb="FFFFFFFF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rgb="FFFFFF00"/>
      <name val="Arial"/>
      <charset val="134"/>
    </font>
    <font>
      <sz val="11"/>
      <color rgb="FFFFFF00"/>
      <name val="Calibri"/>
      <charset val="134"/>
      <scheme val="minor"/>
    </font>
    <font>
      <b/>
      <sz val="9"/>
      <color rgb="FFFF0000"/>
      <name val="Arial"/>
      <charset val="134"/>
    </font>
    <font>
      <sz val="11"/>
      <color rgb="FFFF0000"/>
      <name val="Calibri"/>
      <charset val="134"/>
      <scheme val="minor"/>
    </font>
    <font>
      <i/>
      <sz val="8"/>
      <color rgb="FF17375E"/>
      <name val="Arial"/>
      <charset val="134"/>
    </font>
    <font>
      <b/>
      <sz val="9"/>
      <color rgb="FF276221"/>
      <name val="Arial"/>
      <charset val="134"/>
    </font>
    <font>
      <b/>
      <sz val="9"/>
      <color rgb="FF9C0006"/>
      <name val="Arial"/>
      <charset val="134"/>
    </font>
    <font>
      <b/>
      <sz val="9"/>
      <color rgb="FF7F3F00"/>
      <name val="Arial"/>
      <charset val="134"/>
    </font>
    <font>
      <i/>
      <sz val="8"/>
      <color rgb="FF5C3317"/>
      <name val="Arial"/>
      <charset val="134"/>
    </font>
    <font>
      <b/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BE4D5"/>
        <bgColor rgb="FFFBE4D5"/>
      </patternFill>
    </fill>
    <fill>
      <patternFill patternType="solid">
        <fgColor rgb="FF17375E"/>
        <bgColor rgb="FF17375E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EAF2FF"/>
        <bgColor rgb="FFEAF2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F8E1"/>
        <bgColor rgb="FFFFF8E1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  <fill>
      <patternFill patternType="solid">
        <fgColor rgb="FFE9F5FF"/>
        <bgColor rgb="FFE9F5FF"/>
      </patternFill>
    </fill>
    <fill>
      <patternFill patternType="solid">
        <fgColor rgb="FFFFFAEE"/>
        <bgColor rgb="FFFFFAEE"/>
      </patternFill>
    </fill>
    <fill>
      <patternFill patternType="solid">
        <fgColor rgb="FFFFC7CE"/>
        <bgColor rgb="FFFFC7CE"/>
      </patternFill>
    </fill>
    <fill>
      <patternFill patternType="solid">
        <fgColor rgb="FFDDEEFF"/>
        <bgColor indexed="64"/>
      </patternFill>
    </fill>
    <fill>
      <patternFill patternType="solid">
        <fgColor rgb="FFFFFA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F8F00"/>
        <bgColor rgb="FFBF8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9C0006"/>
      </left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5" borderId="9" applyNumberFormat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26" fillId="26" borderId="9" applyNumberFormat="0" applyAlignment="0" applyProtection="0">
      <alignment vertical="center"/>
    </xf>
    <xf numFmtId="0" fontId="27" fillId="27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left" vertical="center" wrapText="1"/>
    </xf>
    <xf numFmtId="178" fontId="4" fillId="17" borderId="3" xfId="0" applyNumberFormat="1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4" fillId="7" borderId="3" xfId="0" applyFont="1" applyFill="1" applyBorder="1"/>
    <xf numFmtId="178" fontId="4" fillId="7" borderId="3" xfId="0" applyNumberFormat="1" applyFont="1" applyFill="1" applyBorder="1"/>
    <xf numFmtId="0" fontId="4" fillId="8" borderId="3" xfId="0" applyFont="1" applyFill="1" applyBorder="1"/>
    <xf numFmtId="178" fontId="4" fillId="8" borderId="3" xfId="0" applyNumberFormat="1" applyFont="1" applyFill="1" applyBorder="1"/>
    <xf numFmtId="0" fontId="14" fillId="10" borderId="5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wrapText="1"/>
    </xf>
    <xf numFmtId="0" fontId="5" fillId="20" borderId="3" xfId="0" applyFont="1" applyFill="1" applyBorder="1" applyAlignment="1">
      <alignment horizontal="left" wrapText="1"/>
    </xf>
    <xf numFmtId="0" fontId="4" fillId="19" borderId="3" xfId="0" applyFont="1" applyFill="1" applyBorder="1" applyAlignment="1">
      <alignment horizontal="left" wrapText="1"/>
    </xf>
    <xf numFmtId="0" fontId="4" fillId="20" borderId="3" xfId="0" applyFont="1" applyFill="1" applyBorder="1" applyAlignment="1">
      <alignment horizontal="center" wrapText="1"/>
    </xf>
    <xf numFmtId="0" fontId="4" fillId="20" borderId="3" xfId="0" applyFont="1" applyFill="1" applyBorder="1" applyAlignment="1">
      <alignment horizontal="left" wrapText="1"/>
    </xf>
    <xf numFmtId="178" fontId="4" fillId="20" borderId="3" xfId="0" applyNumberFormat="1" applyFont="1" applyFill="1" applyBorder="1" applyAlignment="1">
      <alignment horizontal="center" wrapText="1"/>
    </xf>
    <xf numFmtId="0" fontId="5" fillId="20" borderId="3" xfId="0" applyFont="1" applyFill="1" applyBorder="1" applyAlignment="1">
      <alignment horizontal="center" wrapText="1"/>
    </xf>
    <xf numFmtId="0" fontId="11" fillId="21" borderId="3" xfId="0" applyFont="1" applyFill="1" applyBorder="1" applyAlignment="1">
      <alignment horizontal="center" wrapText="1"/>
    </xf>
    <xf numFmtId="0" fontId="12" fillId="22" borderId="3" xfId="0" applyFont="1" applyFill="1" applyBorder="1" applyAlignment="1">
      <alignment horizontal="center" wrapText="1"/>
    </xf>
    <xf numFmtId="0" fontId="1" fillId="23" borderId="1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center" vertical="center" wrapText="1"/>
    </xf>
    <xf numFmtId="0" fontId="0" fillId="8" borderId="0" xfId="0" applyFont="1" applyFill="1"/>
    <xf numFmtId="0" fontId="15" fillId="4" borderId="4" xfId="0" applyFont="1" applyFill="1" applyBorder="1" applyAlignment="1">
      <alignment horizontal="center" vertical="center" wrapText="1"/>
    </xf>
    <xf numFmtId="0" fontId="14" fillId="15" borderId="5" xfId="0" applyFont="1" applyFill="1" applyBorder="1" applyAlignment="1">
      <alignment horizontal="left" vertical="center" wrapText="1"/>
    </xf>
    <xf numFmtId="0" fontId="0" fillId="0" borderId="3" xfId="0" applyFont="1" applyBorder="1"/>
    <xf numFmtId="0" fontId="5" fillId="12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0" fillId="12" borderId="3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I107"/>
  <sheetViews>
    <sheetView tabSelected="1" workbookViewId="0">
      <pane ySplit="6" topLeftCell="A7" activePane="bottomLeft" state="frozen"/>
      <selection/>
      <selection pane="bottomLeft" activeCell="A1" sqref="A1:I1"/>
    </sheetView>
  </sheetViews>
  <sheetFormatPr defaultColWidth="9" defaultRowHeight="15"/>
  <cols>
    <col min="1" max="1" width="5" customWidth="1"/>
    <col min="2" max="2" width="28" customWidth="1"/>
    <col min="3" max="3" width="26" customWidth="1"/>
    <col min="4" max="4" width="2" customWidth="1"/>
    <col min="5" max="5" width="22" customWidth="1"/>
    <col min="6" max="6" width="10" customWidth="1"/>
    <col min="7" max="7" width="2" customWidth="1"/>
    <col min="8" max="8" width="18" customWidth="1"/>
    <col min="9" max="9" width="12" customWidth="1"/>
  </cols>
  <sheetData>
    <row r="1" ht="28" customHeight="1" spans="1:9">
      <c r="A1" s="49" t="s">
        <v>0</v>
      </c>
    </row>
    <row r="2" ht="17" customHeight="1" spans="1:9">
      <c r="A2" s="50" t="s">
        <v>1</v>
      </c>
    </row>
    <row r="3" ht="6" customHeight="1"/>
    <row r="4" ht="22" customHeight="1" spans="1:9">
      <c r="A4" s="51" t="s">
        <v>2</v>
      </c>
      <c r="D4" s="52"/>
      <c r="E4" s="51" t="s">
        <v>3</v>
      </c>
      <c r="G4" s="52"/>
      <c r="H4" s="53" t="s">
        <v>4</v>
      </c>
    </row>
    <row r="5" ht="20" customHeight="1" spans="1:9">
      <c r="A5" s="50" t="s">
        <v>5</v>
      </c>
      <c r="E5" s="50" t="s">
        <v>6</v>
      </c>
      <c r="H5" s="54" t="s">
        <v>7</v>
      </c>
    </row>
    <row r="6" ht="22" customHeight="1" spans="1:9">
      <c r="A6" s="3" t="s">
        <v>8</v>
      </c>
      <c r="B6" s="4" t="s">
        <v>9</v>
      </c>
      <c r="C6" s="4" t="s">
        <v>10</v>
      </c>
      <c r="D6" s="55"/>
      <c r="E6" s="4" t="s">
        <v>11</v>
      </c>
      <c r="F6" s="4" t="s">
        <v>12</v>
      </c>
      <c r="G6" s="55"/>
      <c r="H6" s="3" t="s">
        <v>13</v>
      </c>
      <c r="I6" s="3" t="s">
        <v>14</v>
      </c>
    </row>
    <row r="7" ht="17" customHeight="1" spans="1:9">
      <c r="A7" s="5">
        <f t="shared" ref="A7:A70" si="0">IF(B7="","",ROW()-6)</f>
        <v>1</v>
      </c>
      <c r="B7" s="26" t="s">
        <v>15</v>
      </c>
      <c r="C7" s="29" t="s">
        <v>16</v>
      </c>
      <c r="E7" s="26" t="s">
        <v>17</v>
      </c>
      <c r="F7" s="28">
        <v>10</v>
      </c>
      <c r="H7" s="56" t="s">
        <v>18</v>
      </c>
      <c r="I7" s="57">
        <v>2026</v>
      </c>
    </row>
    <row r="8" ht="17" customHeight="1" spans="1:9">
      <c r="A8" s="5">
        <f t="shared" si="0"/>
        <v>2</v>
      </c>
      <c r="B8" s="26" t="s">
        <v>19</v>
      </c>
      <c r="C8" s="29" t="s">
        <v>20</v>
      </c>
      <c r="E8" s="26" t="s">
        <v>21</v>
      </c>
      <c r="F8" s="28">
        <v>5</v>
      </c>
      <c r="H8" s="56" t="s">
        <v>22</v>
      </c>
      <c r="I8" s="19" t="s">
        <v>23</v>
      </c>
    </row>
    <row r="9" ht="24" spans="1:9">
      <c r="A9" s="5">
        <f t="shared" si="0"/>
        <v>3</v>
      </c>
      <c r="B9" s="26" t="s">
        <v>24</v>
      </c>
      <c r="C9" s="29" t="s">
        <v>25</v>
      </c>
      <c r="E9" s="58"/>
      <c r="F9" s="58"/>
      <c r="H9" s="56" t="s">
        <v>26</v>
      </c>
      <c r="I9" s="19" t="s">
        <v>27</v>
      </c>
    </row>
    <row r="10" spans="1:9">
      <c r="A10" s="5">
        <f t="shared" si="0"/>
        <v>4</v>
      </c>
      <c r="B10" s="26" t="s">
        <v>28</v>
      </c>
      <c r="C10" s="29" t="s">
        <v>29</v>
      </c>
      <c r="E10" s="58"/>
      <c r="F10" s="58"/>
    </row>
    <row r="11" spans="1:9">
      <c r="A11" s="5">
        <f t="shared" si="0"/>
        <v>5</v>
      </c>
      <c r="B11" s="26" t="s">
        <v>30</v>
      </c>
      <c r="C11" s="29" t="s">
        <v>25</v>
      </c>
      <c r="E11" s="58"/>
      <c r="F11" s="58"/>
    </row>
    <row r="12" ht="17" customHeight="1" spans="1:9">
      <c r="A12" s="5">
        <f t="shared" si="0"/>
        <v>6</v>
      </c>
      <c r="B12" s="26" t="s">
        <v>31</v>
      </c>
      <c r="C12" s="29" t="s">
        <v>25</v>
      </c>
      <c r="E12" s="39" t="s">
        <v>32</v>
      </c>
    </row>
    <row r="13" ht="17" customHeight="1" spans="1:9">
      <c r="A13" s="5">
        <f t="shared" si="0"/>
        <v>7</v>
      </c>
      <c r="B13" s="26" t="s">
        <v>33</v>
      </c>
      <c r="C13" s="29" t="s">
        <v>25</v>
      </c>
    </row>
    <row r="14" ht="17" customHeight="1" spans="1:9">
      <c r="A14" s="5">
        <f t="shared" si="0"/>
        <v>8</v>
      </c>
      <c r="B14" s="26" t="s">
        <v>34</v>
      </c>
      <c r="C14" s="29" t="s">
        <v>35</v>
      </c>
    </row>
    <row r="15" ht="17" customHeight="1" spans="1:9">
      <c r="A15" s="5">
        <f t="shared" si="0"/>
        <v>9</v>
      </c>
      <c r="B15" s="26" t="s">
        <v>36</v>
      </c>
      <c r="C15" s="29" t="s">
        <v>37</v>
      </c>
    </row>
    <row r="16" ht="17" customHeight="1" spans="1:9">
      <c r="A16" s="5">
        <f t="shared" si="0"/>
        <v>10</v>
      </c>
      <c r="B16" s="26" t="s">
        <v>38</v>
      </c>
      <c r="C16" s="29" t="s">
        <v>25</v>
      </c>
    </row>
    <row r="17" ht="17" customHeight="1" spans="1:3">
      <c r="A17" s="5">
        <f t="shared" si="0"/>
        <v>11</v>
      </c>
      <c r="B17" s="26" t="s">
        <v>39</v>
      </c>
      <c r="C17" s="29" t="s">
        <v>40</v>
      </c>
    </row>
    <row r="18" ht="17" customHeight="1" spans="1:3">
      <c r="A18" s="5">
        <f t="shared" si="0"/>
        <v>12</v>
      </c>
      <c r="B18" s="26" t="s">
        <v>41</v>
      </c>
      <c r="C18" s="29" t="s">
        <v>42</v>
      </c>
    </row>
    <row r="19" ht="17" customHeight="1" spans="1:3">
      <c r="A19" s="5">
        <f t="shared" si="0"/>
        <v>13</v>
      </c>
      <c r="B19" s="26" t="s">
        <v>43</v>
      </c>
      <c r="C19" s="29" t="s">
        <v>44</v>
      </c>
    </row>
    <row r="20" ht="17" customHeight="1" spans="1:3">
      <c r="A20" s="5">
        <f t="shared" si="0"/>
        <v>14</v>
      </c>
      <c r="B20" s="26" t="s">
        <v>45</v>
      </c>
      <c r="C20" s="29" t="s">
        <v>46</v>
      </c>
    </row>
    <row r="21" ht="17" customHeight="1" spans="1:3">
      <c r="A21" s="5">
        <f t="shared" si="0"/>
        <v>15</v>
      </c>
      <c r="B21" s="26" t="s">
        <v>47</v>
      </c>
      <c r="C21" s="29" t="s">
        <v>25</v>
      </c>
    </row>
    <row r="22" ht="17" customHeight="1" spans="1:3">
      <c r="A22" s="5">
        <f t="shared" si="0"/>
        <v>16</v>
      </c>
      <c r="B22" s="26" t="s">
        <v>48</v>
      </c>
      <c r="C22" s="29" t="s">
        <v>49</v>
      </c>
    </row>
    <row r="23" ht="17" customHeight="1" spans="1:3">
      <c r="A23" s="5">
        <f t="shared" si="0"/>
        <v>17</v>
      </c>
      <c r="B23" s="26" t="s">
        <v>50</v>
      </c>
      <c r="C23" s="29" t="s">
        <v>49</v>
      </c>
    </row>
    <row r="24" ht="17" customHeight="1" spans="1:3">
      <c r="A24" s="5">
        <f t="shared" si="0"/>
        <v>18</v>
      </c>
      <c r="B24" s="26" t="s">
        <v>51</v>
      </c>
      <c r="C24" s="29" t="s">
        <v>52</v>
      </c>
    </row>
    <row r="25" ht="17" customHeight="1" spans="1:3">
      <c r="A25" s="5">
        <f t="shared" si="0"/>
        <v>19</v>
      </c>
      <c r="B25" s="26" t="s">
        <v>53</v>
      </c>
      <c r="C25" s="29" t="s">
        <v>49</v>
      </c>
    </row>
    <row r="26" ht="17" customHeight="1" spans="1:3">
      <c r="A26" s="5">
        <f t="shared" si="0"/>
        <v>20</v>
      </c>
      <c r="B26" s="26" t="s">
        <v>54</v>
      </c>
      <c r="C26" s="29" t="s">
        <v>25</v>
      </c>
    </row>
    <row r="27" ht="17" customHeight="1" spans="1:3">
      <c r="A27" s="5">
        <f t="shared" si="0"/>
        <v>21</v>
      </c>
      <c r="B27" s="26" t="s">
        <v>55</v>
      </c>
      <c r="C27" s="29" t="s">
        <v>49</v>
      </c>
    </row>
    <row r="28" ht="17" customHeight="1" spans="1:3">
      <c r="A28" s="5">
        <f t="shared" si="0"/>
        <v>22</v>
      </c>
      <c r="B28" s="26" t="s">
        <v>56</v>
      </c>
      <c r="C28" s="29" t="s">
        <v>25</v>
      </c>
    </row>
    <row r="29" ht="17" customHeight="1" spans="1:3">
      <c r="A29" s="5">
        <f t="shared" si="0"/>
        <v>23</v>
      </c>
      <c r="B29" s="26" t="s">
        <v>57</v>
      </c>
      <c r="C29" s="29" t="s">
        <v>35</v>
      </c>
    </row>
    <row r="30" ht="17" customHeight="1" spans="1:3">
      <c r="A30" s="5">
        <f t="shared" si="0"/>
        <v>24</v>
      </c>
      <c r="B30" s="26" t="s">
        <v>58</v>
      </c>
      <c r="C30" s="29" t="s">
        <v>59</v>
      </c>
    </row>
    <row r="31" ht="17" customHeight="1" spans="1:3">
      <c r="A31" s="5">
        <f t="shared" si="0"/>
        <v>25</v>
      </c>
      <c r="B31" s="26" t="s">
        <v>60</v>
      </c>
      <c r="C31" s="29" t="s">
        <v>61</v>
      </c>
    </row>
    <row r="32" ht="17" customHeight="1" spans="1:3">
      <c r="A32" s="5">
        <f t="shared" si="0"/>
        <v>26</v>
      </c>
      <c r="B32" s="26" t="s">
        <v>62</v>
      </c>
      <c r="C32" s="29" t="s">
        <v>52</v>
      </c>
    </row>
    <row r="33" ht="17" customHeight="1" spans="1:3">
      <c r="A33" s="5">
        <f t="shared" si="0"/>
        <v>27</v>
      </c>
      <c r="B33" s="26" t="s">
        <v>63</v>
      </c>
      <c r="C33" s="29" t="s">
        <v>35</v>
      </c>
    </row>
    <row r="34" ht="17" customHeight="1" spans="1:3">
      <c r="A34" s="5">
        <f t="shared" si="0"/>
        <v>28</v>
      </c>
      <c r="B34" s="26" t="s">
        <v>64</v>
      </c>
      <c r="C34" s="29" t="s">
        <v>65</v>
      </c>
    </row>
    <row r="35" ht="17" customHeight="1" spans="1:3">
      <c r="A35" s="5">
        <f t="shared" si="0"/>
        <v>29</v>
      </c>
      <c r="B35" s="26" t="s">
        <v>66</v>
      </c>
      <c r="C35" s="29" t="s">
        <v>25</v>
      </c>
    </row>
    <row r="36" ht="17" customHeight="1" spans="1:3">
      <c r="A36" s="5">
        <f t="shared" si="0"/>
        <v>30</v>
      </c>
      <c r="B36" s="26" t="s">
        <v>67</v>
      </c>
      <c r="C36" s="29" t="s">
        <v>35</v>
      </c>
    </row>
    <row r="37" ht="17" customHeight="1" spans="1:3">
      <c r="A37" s="5">
        <f t="shared" si="0"/>
        <v>31</v>
      </c>
      <c r="B37" s="26" t="s">
        <v>68</v>
      </c>
      <c r="C37" s="29" t="s">
        <v>35</v>
      </c>
    </row>
    <row r="38" ht="17" customHeight="1" spans="1:3">
      <c r="A38" s="5">
        <f t="shared" si="0"/>
        <v>32</v>
      </c>
      <c r="B38" s="26" t="s">
        <v>69</v>
      </c>
      <c r="C38" s="29" t="s">
        <v>25</v>
      </c>
    </row>
    <row r="39" ht="17" customHeight="1" spans="1:3">
      <c r="A39" s="5">
        <f t="shared" si="0"/>
        <v>33</v>
      </c>
      <c r="B39" s="26" t="s">
        <v>70</v>
      </c>
      <c r="C39" s="29" t="s">
        <v>37</v>
      </c>
    </row>
    <row r="40" ht="17" customHeight="1" spans="1:3">
      <c r="A40" s="5">
        <f t="shared" si="0"/>
        <v>34</v>
      </c>
      <c r="B40" s="26" t="s">
        <v>71</v>
      </c>
      <c r="C40" s="29" t="s">
        <v>59</v>
      </c>
    </row>
    <row r="41" ht="17" customHeight="1" spans="1:3">
      <c r="A41" s="5">
        <f t="shared" si="0"/>
        <v>35</v>
      </c>
      <c r="B41" s="26" t="s">
        <v>72</v>
      </c>
      <c r="C41" s="29" t="s">
        <v>25</v>
      </c>
    </row>
    <row r="42" ht="17" customHeight="1" spans="1:3">
      <c r="A42" s="5">
        <f t="shared" si="0"/>
        <v>36</v>
      </c>
      <c r="B42" s="26" t="s">
        <v>73</v>
      </c>
      <c r="C42" s="29" t="s">
        <v>25</v>
      </c>
    </row>
    <row r="43" ht="17" customHeight="1" spans="1:3">
      <c r="A43" s="5">
        <f t="shared" si="0"/>
        <v>37</v>
      </c>
      <c r="B43" s="26" t="s">
        <v>74</v>
      </c>
      <c r="C43" s="29" t="s">
        <v>25</v>
      </c>
    </row>
    <row r="44" ht="17" customHeight="1" spans="1:3">
      <c r="A44" s="5">
        <f t="shared" si="0"/>
        <v>38</v>
      </c>
      <c r="B44" s="26" t="s">
        <v>75</v>
      </c>
      <c r="C44" s="29" t="s">
        <v>25</v>
      </c>
    </row>
    <row r="45" ht="17" customHeight="1" spans="1:3">
      <c r="A45" s="5">
        <f t="shared" si="0"/>
        <v>39</v>
      </c>
      <c r="B45" s="26" t="s">
        <v>76</v>
      </c>
      <c r="C45" s="29" t="s">
        <v>65</v>
      </c>
    </row>
    <row r="46" ht="17" customHeight="1" spans="1:3">
      <c r="A46" s="5">
        <f t="shared" si="0"/>
        <v>40</v>
      </c>
      <c r="B46" s="26" t="s">
        <v>77</v>
      </c>
      <c r="C46" s="29" t="s">
        <v>65</v>
      </c>
    </row>
    <row r="47" ht="17" customHeight="1" spans="1:3">
      <c r="A47" s="5">
        <f t="shared" si="0"/>
        <v>41</v>
      </c>
      <c r="B47" s="26" t="s">
        <v>78</v>
      </c>
      <c r="C47" s="29" t="s">
        <v>59</v>
      </c>
    </row>
    <row r="48" ht="17" customHeight="1" spans="1:3">
      <c r="A48" s="5">
        <f t="shared" si="0"/>
        <v>42</v>
      </c>
      <c r="B48" s="26" t="s">
        <v>79</v>
      </c>
      <c r="C48" s="29" t="s">
        <v>25</v>
      </c>
    </row>
    <row r="49" ht="17" customHeight="1" spans="1:3">
      <c r="A49" s="5">
        <f t="shared" si="0"/>
        <v>43</v>
      </c>
      <c r="B49" s="26" t="s">
        <v>80</v>
      </c>
      <c r="C49" s="29" t="s">
        <v>25</v>
      </c>
    </row>
    <row r="50" ht="17" customHeight="1" spans="1:3">
      <c r="A50" s="5">
        <f t="shared" si="0"/>
        <v>44</v>
      </c>
      <c r="B50" s="26" t="s">
        <v>81</v>
      </c>
      <c r="C50" s="29" t="s">
        <v>25</v>
      </c>
    </row>
    <row r="51" ht="17" customHeight="1" spans="1:3">
      <c r="A51" s="5">
        <f t="shared" si="0"/>
        <v>45</v>
      </c>
      <c r="B51" s="26" t="s">
        <v>82</v>
      </c>
      <c r="C51" s="29" t="s">
        <v>25</v>
      </c>
    </row>
    <row r="52" ht="17" customHeight="1" spans="1:3">
      <c r="A52" s="5">
        <f t="shared" si="0"/>
        <v>46</v>
      </c>
      <c r="B52" s="26" t="s">
        <v>83</v>
      </c>
      <c r="C52" s="29" t="s">
        <v>25</v>
      </c>
    </row>
    <row r="53" ht="17" customHeight="1" spans="1:3">
      <c r="A53" s="5">
        <f t="shared" si="0"/>
        <v>47</v>
      </c>
      <c r="B53" s="26" t="s">
        <v>84</v>
      </c>
      <c r="C53" s="29" t="s">
        <v>25</v>
      </c>
    </row>
    <row r="54" ht="17" customHeight="1" spans="1:3">
      <c r="A54" s="5">
        <f t="shared" si="0"/>
        <v>48</v>
      </c>
      <c r="B54" s="26" t="s">
        <v>85</v>
      </c>
      <c r="C54" s="29" t="s">
        <v>25</v>
      </c>
    </row>
    <row r="55" ht="17" customHeight="1" spans="1:3">
      <c r="A55" s="5">
        <f t="shared" si="0"/>
        <v>49</v>
      </c>
      <c r="B55" s="26" t="s">
        <v>86</v>
      </c>
      <c r="C55" s="29" t="s">
        <v>25</v>
      </c>
    </row>
    <row r="56" ht="17" customHeight="1" spans="1:3">
      <c r="A56" s="5">
        <f t="shared" si="0"/>
        <v>50</v>
      </c>
      <c r="B56" s="26" t="s">
        <v>87</v>
      </c>
      <c r="C56" s="29" t="s">
        <v>25</v>
      </c>
    </row>
    <row r="57" ht="17" customHeight="1" spans="1:3">
      <c r="A57" s="5">
        <f t="shared" si="0"/>
        <v>51</v>
      </c>
      <c r="B57" s="26" t="s">
        <v>88</v>
      </c>
      <c r="C57" s="29" t="s">
        <v>25</v>
      </c>
    </row>
    <row r="58" ht="17" customHeight="1" spans="1:3">
      <c r="A58" s="5">
        <f t="shared" si="0"/>
        <v>52</v>
      </c>
      <c r="B58" s="26" t="s">
        <v>89</v>
      </c>
      <c r="C58" s="29" t="s">
        <v>25</v>
      </c>
    </row>
    <row r="59" ht="17" customHeight="1" spans="1:3">
      <c r="A59" s="5">
        <f t="shared" si="0"/>
        <v>53</v>
      </c>
      <c r="B59" s="26" t="s">
        <v>90</v>
      </c>
      <c r="C59" s="29" t="s">
        <v>25</v>
      </c>
    </row>
    <row r="60" spans="1:3">
      <c r="A60" s="5" t="str">
        <f t="shared" si="0"/>
        <v/>
      </c>
      <c r="B60" s="58"/>
      <c r="C60" s="58"/>
    </row>
    <row r="61" spans="1:3">
      <c r="A61" s="5" t="str">
        <f t="shared" si="0"/>
        <v/>
      </c>
      <c r="B61" s="58"/>
      <c r="C61" s="58"/>
    </row>
    <row r="62" spans="1:3">
      <c r="A62" s="5" t="str">
        <f t="shared" si="0"/>
        <v/>
      </c>
      <c r="B62" s="58"/>
      <c r="C62" s="58"/>
    </row>
    <row r="63" spans="1:3">
      <c r="A63" s="5" t="str">
        <f t="shared" si="0"/>
        <v/>
      </c>
      <c r="B63" s="58"/>
      <c r="C63" s="58"/>
    </row>
    <row r="64" spans="1:3">
      <c r="A64" s="5" t="str">
        <f t="shared" si="0"/>
        <v/>
      </c>
      <c r="B64" s="58"/>
      <c r="C64" s="58"/>
    </row>
    <row r="65" spans="1:3">
      <c r="A65" s="5" t="str">
        <f t="shared" si="0"/>
        <v/>
      </c>
      <c r="B65" s="58"/>
      <c r="C65" s="58"/>
    </row>
    <row r="66" spans="1:3">
      <c r="A66" s="5" t="str">
        <f t="shared" si="0"/>
        <v/>
      </c>
      <c r="B66" s="58"/>
      <c r="C66" s="58"/>
    </row>
    <row r="67" spans="1:3">
      <c r="A67" s="5" t="str">
        <f t="shared" si="0"/>
        <v/>
      </c>
      <c r="B67" s="58"/>
      <c r="C67" s="58"/>
    </row>
    <row r="68" spans="1:3">
      <c r="A68" s="5" t="str">
        <f t="shared" si="0"/>
        <v/>
      </c>
      <c r="B68" s="58"/>
      <c r="C68" s="58"/>
    </row>
    <row r="69" spans="1:3">
      <c r="A69" s="5" t="str">
        <f t="shared" si="0"/>
        <v/>
      </c>
      <c r="B69" s="58"/>
      <c r="C69" s="58"/>
    </row>
    <row r="70" spans="1:3">
      <c r="A70" s="5" t="str">
        <f t="shared" si="0"/>
        <v/>
      </c>
      <c r="B70" s="58"/>
      <c r="C70" s="58"/>
    </row>
    <row r="71" spans="1:3">
      <c r="A71" s="5" t="str">
        <f t="shared" ref="A71:A106" si="1">IF(B71="","",ROW()-6)</f>
        <v/>
      </c>
      <c r="B71" s="58"/>
      <c r="C71" s="58"/>
    </row>
    <row r="72" spans="1:3">
      <c r="A72" s="5" t="str">
        <f t="shared" si="1"/>
        <v/>
      </c>
      <c r="B72" s="58"/>
      <c r="C72" s="58"/>
    </row>
    <row r="73" spans="1:3">
      <c r="A73" s="5" t="str">
        <f t="shared" si="1"/>
        <v/>
      </c>
      <c r="B73" s="58"/>
      <c r="C73" s="58"/>
    </row>
    <row r="74" spans="1:3">
      <c r="A74" s="5" t="str">
        <f t="shared" si="1"/>
        <v/>
      </c>
      <c r="B74" s="58"/>
      <c r="C74" s="58"/>
    </row>
    <row r="75" spans="1:3">
      <c r="A75" s="5" t="str">
        <f t="shared" si="1"/>
        <v/>
      </c>
      <c r="B75" s="58"/>
      <c r="C75" s="58"/>
    </row>
    <row r="76" spans="1:3">
      <c r="A76" s="5" t="str">
        <f t="shared" si="1"/>
        <v/>
      </c>
      <c r="B76" s="58"/>
      <c r="C76" s="58"/>
    </row>
    <row r="77" spans="1:3">
      <c r="A77" s="5" t="str">
        <f t="shared" si="1"/>
        <v/>
      </c>
      <c r="B77" s="58"/>
      <c r="C77" s="58"/>
    </row>
    <row r="78" spans="1:3">
      <c r="A78" s="5" t="str">
        <f t="shared" si="1"/>
        <v/>
      </c>
      <c r="B78" s="58"/>
      <c r="C78" s="58"/>
    </row>
    <row r="79" spans="1:3">
      <c r="A79" s="5" t="str">
        <f t="shared" si="1"/>
        <v/>
      </c>
      <c r="B79" s="58"/>
      <c r="C79" s="58"/>
    </row>
    <row r="80" spans="1:3">
      <c r="A80" s="5" t="str">
        <f t="shared" si="1"/>
        <v/>
      </c>
      <c r="B80" s="58"/>
      <c r="C80" s="58"/>
    </row>
    <row r="81" spans="1:3">
      <c r="A81" s="5" t="str">
        <f t="shared" si="1"/>
        <v/>
      </c>
      <c r="B81" s="58"/>
      <c r="C81" s="58"/>
    </row>
    <row r="82" spans="1:3">
      <c r="A82" s="5" t="str">
        <f t="shared" si="1"/>
        <v/>
      </c>
      <c r="B82" s="58"/>
      <c r="C82" s="58"/>
    </row>
    <row r="83" spans="1:3">
      <c r="A83" s="5" t="str">
        <f t="shared" si="1"/>
        <v/>
      </c>
      <c r="B83" s="58"/>
      <c r="C83" s="58"/>
    </row>
    <row r="84" spans="1:3">
      <c r="A84" s="5" t="str">
        <f t="shared" si="1"/>
        <v/>
      </c>
      <c r="B84" s="58"/>
      <c r="C84" s="58"/>
    </row>
    <row r="85" spans="1:3">
      <c r="A85" s="5" t="str">
        <f t="shared" si="1"/>
        <v/>
      </c>
      <c r="B85" s="58"/>
      <c r="C85" s="58"/>
    </row>
    <row r="86" spans="1:3">
      <c r="A86" s="5" t="str">
        <f t="shared" si="1"/>
        <v/>
      </c>
      <c r="B86" s="58"/>
      <c r="C86" s="58"/>
    </row>
    <row r="87" spans="1:3">
      <c r="A87" s="5" t="str">
        <f t="shared" si="1"/>
        <v/>
      </c>
      <c r="B87" s="58"/>
      <c r="C87" s="58"/>
    </row>
    <row r="88" spans="1:3">
      <c r="A88" s="5" t="str">
        <f t="shared" si="1"/>
        <v/>
      </c>
      <c r="B88" s="58"/>
      <c r="C88" s="58"/>
    </row>
    <row r="89" spans="1:3">
      <c r="A89" s="5" t="str">
        <f t="shared" si="1"/>
        <v/>
      </c>
      <c r="B89" s="58"/>
      <c r="C89" s="58"/>
    </row>
    <row r="90" spans="1:3">
      <c r="A90" s="5" t="str">
        <f t="shared" si="1"/>
        <v/>
      </c>
      <c r="B90" s="58"/>
      <c r="C90" s="58"/>
    </row>
    <row r="91" spans="1:3">
      <c r="A91" s="5" t="str">
        <f t="shared" si="1"/>
        <v/>
      </c>
      <c r="B91" s="58"/>
      <c r="C91" s="58"/>
    </row>
    <row r="92" spans="1:3">
      <c r="A92" s="5" t="str">
        <f t="shared" si="1"/>
        <v/>
      </c>
      <c r="B92" s="58"/>
      <c r="C92" s="58"/>
    </row>
    <row r="93" spans="1:3">
      <c r="A93" s="5" t="str">
        <f t="shared" si="1"/>
        <v/>
      </c>
      <c r="B93" s="58"/>
      <c r="C93" s="58"/>
    </row>
    <row r="94" spans="1:3">
      <c r="A94" s="5" t="str">
        <f t="shared" si="1"/>
        <v/>
      </c>
      <c r="B94" s="58"/>
      <c r="C94" s="58"/>
    </row>
    <row r="95" spans="1:3">
      <c r="A95" s="5" t="str">
        <f t="shared" si="1"/>
        <v/>
      </c>
      <c r="B95" s="58"/>
      <c r="C95" s="58"/>
    </row>
    <row r="96" spans="1:3">
      <c r="A96" s="5" t="str">
        <f t="shared" si="1"/>
        <v/>
      </c>
      <c r="B96" s="58"/>
      <c r="C96" s="58"/>
    </row>
    <row r="97" spans="1:3">
      <c r="A97" s="5" t="str">
        <f t="shared" si="1"/>
        <v/>
      </c>
      <c r="B97" s="58"/>
      <c r="C97" s="58"/>
    </row>
    <row r="98" spans="1:3">
      <c r="A98" s="5" t="str">
        <f t="shared" si="1"/>
        <v/>
      </c>
      <c r="B98" s="58"/>
      <c r="C98" s="58"/>
    </row>
    <row r="99" spans="1:3">
      <c r="A99" s="5" t="str">
        <f t="shared" si="1"/>
        <v/>
      </c>
      <c r="B99" s="58"/>
      <c r="C99" s="58"/>
    </row>
    <row r="100" spans="1:3">
      <c r="A100" s="5" t="str">
        <f t="shared" si="1"/>
        <v/>
      </c>
      <c r="B100" s="58"/>
      <c r="C100" s="58"/>
    </row>
    <row r="101" spans="1:3">
      <c r="A101" s="5" t="str">
        <f t="shared" si="1"/>
        <v/>
      </c>
      <c r="B101" s="58"/>
      <c r="C101" s="58"/>
    </row>
    <row r="102" spans="1:3">
      <c r="A102" s="5" t="str">
        <f t="shared" si="1"/>
        <v/>
      </c>
      <c r="B102" s="58"/>
      <c r="C102" s="58"/>
    </row>
    <row r="103" spans="1:3">
      <c r="A103" s="5" t="str">
        <f t="shared" si="1"/>
        <v/>
      </c>
      <c r="B103" s="58"/>
      <c r="C103" s="58"/>
    </row>
    <row r="104" spans="1:3">
      <c r="A104" s="5" t="str">
        <f t="shared" si="1"/>
        <v/>
      </c>
      <c r="B104" s="58"/>
      <c r="C104" s="58"/>
    </row>
    <row r="105" spans="1:3">
      <c r="A105" s="5" t="str">
        <f t="shared" si="1"/>
        <v/>
      </c>
      <c r="B105" s="58"/>
      <c r="C105" s="58"/>
    </row>
    <row r="106" spans="1:3">
      <c r="A106" s="5" t="str">
        <f t="shared" si="1"/>
        <v/>
      </c>
      <c r="B106" s="58"/>
      <c r="C106" s="58"/>
    </row>
    <row r="107" spans="1:3">
      <c r="A107" s="39" t="s">
        <v>91</v>
      </c>
    </row>
  </sheetData>
  <mergeCells count="10">
    <mergeCell ref="A1:I1"/>
    <mergeCell ref="A2:I2"/>
    <mergeCell ref="A4:C4"/>
    <mergeCell ref="E4:F4"/>
    <mergeCell ref="H4:I4"/>
    <mergeCell ref="A5:C5"/>
    <mergeCell ref="E5:F5"/>
    <mergeCell ref="H5:I5"/>
    <mergeCell ref="E12:F12"/>
    <mergeCell ref="A107:C107"/>
  </mergeCells>
  <dataValidations count="2">
    <dataValidation type="whole" operator="between" showErrorMessage="1" errorTitle="Invalid Year" error="Enter a year between 2020 and 2035." sqref="I7">
      <formula1>2020</formula1>
      <formula2>2035</formula2>
    </dataValidation>
    <dataValidation type="whole" operator="between" showErrorMessage="1" errorTitle="Invalid" error="Enter a number between 1 and 365." sqref="F7:F11">
      <formula1>1</formula1>
      <formula2>365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K309"/>
  <sheetViews>
    <sheetView workbookViewId="0">
      <pane ySplit="3" topLeftCell="A64" activePane="bottomLeft" state="frozen"/>
      <selection/>
      <selection pane="bottomLeft" activeCell="J314" sqref="J314"/>
    </sheetView>
  </sheetViews>
  <sheetFormatPr defaultColWidth="9" defaultRowHeight="15"/>
  <cols>
    <col min="1" max="1" width="5" customWidth="1"/>
    <col min="2" max="2" width="26" customWidth="1"/>
    <col min="3" max="3" width="24" customWidth="1"/>
    <col min="4" max="4" width="14" customWidth="1"/>
    <col min="5" max="5" width="36" customWidth="1"/>
    <col min="6" max="7" width="13" customWidth="1"/>
    <col min="8" max="8" width="14" customWidth="1"/>
    <col min="9" max="9" width="7" customWidth="1"/>
    <col min="10" max="10" width="13" customWidth="1"/>
    <col min="11" max="11" width="12" customWidth="1"/>
  </cols>
  <sheetData>
    <row r="1" ht="28" customHeight="1" spans="1:11">
      <c r="A1" s="23" t="s">
        <v>92</v>
      </c>
    </row>
    <row r="2" ht="17" customHeight="1" spans="1:11">
      <c r="A2" s="24" t="s">
        <v>93</v>
      </c>
    </row>
    <row r="3" ht="35" customHeight="1" spans="1:11">
      <c r="A3" s="25" t="s">
        <v>94</v>
      </c>
      <c r="B3" s="4" t="s">
        <v>9</v>
      </c>
      <c r="C3" s="25" t="s">
        <v>10</v>
      </c>
      <c r="D3" s="4" t="s">
        <v>95</v>
      </c>
      <c r="E3" s="4" t="s">
        <v>96</v>
      </c>
      <c r="F3" s="4" t="s">
        <v>97</v>
      </c>
      <c r="G3" s="4" t="s">
        <v>98</v>
      </c>
      <c r="H3" s="25" t="s">
        <v>99</v>
      </c>
      <c r="I3" s="4" t="s">
        <v>100</v>
      </c>
      <c r="J3" s="4" t="s">
        <v>101</v>
      </c>
      <c r="K3" s="4" t="s">
        <v>102</v>
      </c>
    </row>
    <row r="4" ht="17" customHeight="1" spans="1:11">
      <c r="A4" s="5">
        <f t="shared" ref="A4:A67" si="0">IF(B4="","",ROW()-3)</f>
        <v>1</v>
      </c>
      <c r="B4" s="26" t="s">
        <v>19</v>
      </c>
      <c r="C4" s="27" t="str">
        <f>IFERROR(VLOOKUP(B4,Config!$B$7:$C$106,2,0),"")</f>
        <v>Principal</v>
      </c>
      <c r="D4" s="28" t="s">
        <v>17</v>
      </c>
      <c r="E4" s="29" t="s">
        <v>103</v>
      </c>
      <c r="F4" s="30">
        <v>46082</v>
      </c>
      <c r="G4" s="30">
        <v>46083</v>
      </c>
      <c r="H4" s="5" t="str">
        <f t="shared" ref="H4:H67" si="1">IF(F4="","",TEXT(F4,"MMMM YYYY"))</f>
        <v>March 2026</v>
      </c>
      <c r="I4" s="31">
        <v>2</v>
      </c>
      <c r="J4" s="30">
        <v>46082</v>
      </c>
      <c r="K4" s="32" t="s">
        <v>104</v>
      </c>
    </row>
    <row r="5" ht="17" customHeight="1" spans="1:11">
      <c r="A5" s="5">
        <f t="shared" si="0"/>
        <v>2</v>
      </c>
      <c r="B5" s="26" t="s">
        <v>31</v>
      </c>
      <c r="C5" s="27" t="str">
        <f>IFERROR(VLOOKUP(B5,Config!$B$7:$C$106,2,0),"")</f>
        <v/>
      </c>
      <c r="D5" s="28" t="s">
        <v>17</v>
      </c>
      <c r="E5" s="29" t="s">
        <v>103</v>
      </c>
      <c r="F5" s="30">
        <v>46082</v>
      </c>
      <c r="G5" s="30">
        <v>46083</v>
      </c>
      <c r="H5" s="5" t="str">
        <f t="shared" si="1"/>
        <v>March 2026</v>
      </c>
      <c r="I5" s="31">
        <v>2</v>
      </c>
      <c r="J5" s="30">
        <v>46082</v>
      </c>
      <c r="K5" s="32" t="s">
        <v>104</v>
      </c>
    </row>
    <row r="6" ht="17" customHeight="1" spans="1:11">
      <c r="A6" s="5">
        <f t="shared" si="0"/>
        <v>3</v>
      </c>
      <c r="B6" s="26" t="s">
        <v>34</v>
      </c>
      <c r="C6" s="27" t="str">
        <f>IFERROR(VLOOKUP(B6,Config!$B$7:$C$106,2,0),"")</f>
        <v>Class Teacher</v>
      </c>
      <c r="D6" s="28" t="s">
        <v>17</v>
      </c>
      <c r="E6" s="29" t="s">
        <v>103</v>
      </c>
      <c r="F6" s="30">
        <v>46082</v>
      </c>
      <c r="G6" s="30">
        <v>46086</v>
      </c>
      <c r="H6" s="5" t="str">
        <f t="shared" si="1"/>
        <v>March 2026</v>
      </c>
      <c r="I6" s="31">
        <v>5</v>
      </c>
      <c r="J6" s="30">
        <v>46082</v>
      </c>
      <c r="K6" s="32" t="s">
        <v>104</v>
      </c>
    </row>
    <row r="7" ht="17" customHeight="1" spans="1:11">
      <c r="A7" s="5">
        <f t="shared" si="0"/>
        <v>4</v>
      </c>
      <c r="B7" s="26" t="s">
        <v>36</v>
      </c>
      <c r="C7" s="27" t="str">
        <f>IFERROR(VLOOKUP(B7,Config!$B$7:$C$106,2,0),"")</f>
        <v>Lead Teacher</v>
      </c>
      <c r="D7" s="28" t="s">
        <v>17</v>
      </c>
      <c r="E7" s="29" t="s">
        <v>103</v>
      </c>
      <c r="F7" s="30">
        <v>46082</v>
      </c>
      <c r="G7" s="30">
        <v>46082</v>
      </c>
      <c r="H7" s="5" t="str">
        <f t="shared" si="1"/>
        <v>March 2026</v>
      </c>
      <c r="I7" s="31">
        <v>1</v>
      </c>
      <c r="J7" s="30">
        <v>46082</v>
      </c>
      <c r="K7" s="32" t="s">
        <v>104</v>
      </c>
    </row>
    <row r="8" ht="17" customHeight="1" spans="1:11">
      <c r="A8" s="5">
        <f t="shared" si="0"/>
        <v>5</v>
      </c>
      <c r="B8" s="26" t="s">
        <v>38</v>
      </c>
      <c r="C8" s="27" t="str">
        <f>IFERROR(VLOOKUP(B8,Config!$B$7:$C$106,2,0),"")</f>
        <v/>
      </c>
      <c r="D8" s="28" t="s">
        <v>17</v>
      </c>
      <c r="E8" s="29" t="s">
        <v>103</v>
      </c>
      <c r="F8" s="30">
        <v>46082</v>
      </c>
      <c r="G8" s="30">
        <v>46083</v>
      </c>
      <c r="H8" s="5" t="str">
        <f t="shared" si="1"/>
        <v>March 2026</v>
      </c>
      <c r="I8" s="31">
        <v>2</v>
      </c>
      <c r="J8" s="30">
        <v>46082</v>
      </c>
      <c r="K8" s="32" t="s">
        <v>104</v>
      </c>
    </row>
    <row r="9" ht="17" customHeight="1" spans="1:11">
      <c r="A9" s="5">
        <f t="shared" si="0"/>
        <v>6</v>
      </c>
      <c r="B9" s="26" t="s">
        <v>39</v>
      </c>
      <c r="C9" s="27" t="str">
        <f>IFERROR(VLOOKUP(B9,Config!$B$7:$C$106,2,0),"")</f>
        <v>Asst. Co-ord. (Pre-School)</v>
      </c>
      <c r="D9" s="28" t="s">
        <v>17</v>
      </c>
      <c r="E9" s="29" t="s">
        <v>103</v>
      </c>
      <c r="F9" s="30">
        <v>46082</v>
      </c>
      <c r="G9" s="30">
        <v>46082</v>
      </c>
      <c r="H9" s="5" t="str">
        <f t="shared" si="1"/>
        <v>March 2026</v>
      </c>
      <c r="I9" s="31">
        <v>1</v>
      </c>
      <c r="J9" s="30">
        <v>46082</v>
      </c>
      <c r="K9" s="32" t="s">
        <v>104</v>
      </c>
    </row>
    <row r="10" ht="17" customHeight="1" spans="1:11">
      <c r="A10" s="5">
        <f t="shared" si="0"/>
        <v>7</v>
      </c>
      <c r="B10" s="26" t="s">
        <v>47</v>
      </c>
      <c r="C10" s="27" t="str">
        <f>IFERROR(VLOOKUP(B10,Config!$B$7:$C$106,2,0),"")</f>
        <v/>
      </c>
      <c r="D10" s="28" t="s">
        <v>17</v>
      </c>
      <c r="E10" s="29" t="s">
        <v>103</v>
      </c>
      <c r="F10" s="30">
        <v>46082</v>
      </c>
      <c r="G10" s="30">
        <v>46085</v>
      </c>
      <c r="H10" s="5" t="str">
        <f t="shared" si="1"/>
        <v>March 2026</v>
      </c>
      <c r="I10" s="31">
        <v>4</v>
      </c>
      <c r="J10" s="30">
        <v>46082</v>
      </c>
      <c r="K10" s="32" t="s">
        <v>104</v>
      </c>
    </row>
    <row r="11" ht="17" customHeight="1" spans="1:11">
      <c r="A11" s="5">
        <f t="shared" si="0"/>
        <v>8</v>
      </c>
      <c r="B11" s="26" t="s">
        <v>48</v>
      </c>
      <c r="C11" s="27" t="str">
        <f>IFERROR(VLOOKUP(B11,Config!$B$7:$C$106,2,0),"")</f>
        <v>Teacher's Assistant</v>
      </c>
      <c r="D11" s="28" t="s">
        <v>17</v>
      </c>
      <c r="E11" s="29" t="s">
        <v>103</v>
      </c>
      <c r="F11" s="30">
        <v>46082</v>
      </c>
      <c r="G11" s="30">
        <v>46084</v>
      </c>
      <c r="H11" s="5" t="str">
        <f t="shared" si="1"/>
        <v>March 2026</v>
      </c>
      <c r="I11" s="31">
        <v>3</v>
      </c>
      <c r="J11" s="30">
        <v>46082</v>
      </c>
      <c r="K11" s="32" t="s">
        <v>104</v>
      </c>
    </row>
    <row r="12" ht="17" customHeight="1" spans="1:11">
      <c r="A12" s="5">
        <f t="shared" si="0"/>
        <v>9</v>
      </c>
      <c r="B12" s="26" t="s">
        <v>51</v>
      </c>
      <c r="C12" s="27" t="str">
        <f>IFERROR(VLOOKUP(B12,Config!$B$7:$C$106,2,0),"")</f>
        <v>Subject Teacher (IC)</v>
      </c>
      <c r="D12" s="28" t="s">
        <v>17</v>
      </c>
      <c r="E12" s="29" t="s">
        <v>103</v>
      </c>
      <c r="F12" s="30">
        <v>46082</v>
      </c>
      <c r="G12" s="30">
        <v>46083</v>
      </c>
      <c r="H12" s="5" t="str">
        <f t="shared" si="1"/>
        <v>March 2026</v>
      </c>
      <c r="I12" s="31">
        <v>2</v>
      </c>
      <c r="J12" s="30">
        <v>46082</v>
      </c>
      <c r="K12" s="32" t="s">
        <v>104</v>
      </c>
    </row>
    <row r="13" ht="17" customHeight="1" spans="1:11">
      <c r="A13" s="5">
        <f t="shared" si="0"/>
        <v>10</v>
      </c>
      <c r="B13" s="26" t="s">
        <v>54</v>
      </c>
      <c r="C13" s="27" t="str">
        <f>IFERROR(VLOOKUP(B13,Config!$B$7:$C$106,2,0),"")</f>
        <v/>
      </c>
      <c r="D13" s="28" t="s">
        <v>17</v>
      </c>
      <c r="E13" s="29" t="s">
        <v>103</v>
      </c>
      <c r="F13" s="30">
        <v>46082</v>
      </c>
      <c r="G13" s="30">
        <v>46088</v>
      </c>
      <c r="H13" s="5" t="str">
        <f t="shared" si="1"/>
        <v>March 2026</v>
      </c>
      <c r="I13" s="31">
        <v>7</v>
      </c>
      <c r="J13" s="30">
        <v>46082</v>
      </c>
      <c r="K13" s="32" t="s">
        <v>104</v>
      </c>
    </row>
    <row r="14" ht="17" customHeight="1" spans="1:11">
      <c r="A14" s="5">
        <f t="shared" si="0"/>
        <v>11</v>
      </c>
      <c r="B14" s="26" t="s">
        <v>55</v>
      </c>
      <c r="C14" s="27" t="str">
        <f>IFERROR(VLOOKUP(B14,Config!$B$7:$C$106,2,0),"")</f>
        <v>Teacher's Assistant</v>
      </c>
      <c r="D14" s="28" t="s">
        <v>17</v>
      </c>
      <c r="E14" s="29" t="s">
        <v>103</v>
      </c>
      <c r="F14" s="30">
        <v>46082</v>
      </c>
      <c r="G14" s="30">
        <v>46083</v>
      </c>
      <c r="H14" s="5" t="str">
        <f t="shared" si="1"/>
        <v>March 2026</v>
      </c>
      <c r="I14" s="31">
        <v>2</v>
      </c>
      <c r="J14" s="30">
        <v>46082</v>
      </c>
      <c r="K14" s="32" t="s">
        <v>104</v>
      </c>
    </row>
    <row r="15" ht="17" customHeight="1" spans="1:11">
      <c r="A15" s="5">
        <f t="shared" si="0"/>
        <v>12</v>
      </c>
      <c r="B15" s="26" t="s">
        <v>56</v>
      </c>
      <c r="C15" s="27" t="str">
        <f>IFERROR(VLOOKUP(B15,Config!$B$7:$C$106,2,0),"")</f>
        <v/>
      </c>
      <c r="D15" s="28" t="s">
        <v>17</v>
      </c>
      <c r="E15" s="29" t="s">
        <v>103</v>
      </c>
      <c r="F15" s="30">
        <v>46082</v>
      </c>
      <c r="G15" s="30">
        <v>46082</v>
      </c>
      <c r="H15" s="5" t="str">
        <f t="shared" si="1"/>
        <v>March 2026</v>
      </c>
      <c r="I15" s="31">
        <v>1</v>
      </c>
      <c r="J15" s="30">
        <v>46082</v>
      </c>
      <c r="K15" s="32" t="s">
        <v>104</v>
      </c>
    </row>
    <row r="16" ht="17" customHeight="1" spans="1:11">
      <c r="A16" s="5">
        <f t="shared" si="0"/>
        <v>13</v>
      </c>
      <c r="B16" s="26" t="s">
        <v>57</v>
      </c>
      <c r="C16" s="27" t="str">
        <f>IFERROR(VLOOKUP(B16,Config!$B$7:$C$106,2,0),"")</f>
        <v>Class Teacher</v>
      </c>
      <c r="D16" s="28" t="s">
        <v>17</v>
      </c>
      <c r="E16" s="29" t="s">
        <v>103</v>
      </c>
      <c r="F16" s="30">
        <v>46082</v>
      </c>
      <c r="G16" s="30">
        <v>46086</v>
      </c>
      <c r="H16" s="5" t="str">
        <f t="shared" si="1"/>
        <v>March 2026</v>
      </c>
      <c r="I16" s="31">
        <v>5</v>
      </c>
      <c r="J16" s="30">
        <v>46082</v>
      </c>
      <c r="K16" s="32" t="s">
        <v>104</v>
      </c>
    </row>
    <row r="17" ht="17" customHeight="1" spans="1:11">
      <c r="A17" s="5">
        <f t="shared" si="0"/>
        <v>14</v>
      </c>
      <c r="B17" s="26" t="s">
        <v>62</v>
      </c>
      <c r="C17" s="27" t="str">
        <f>IFERROR(VLOOKUP(B17,Config!$B$7:$C$106,2,0),"")</f>
        <v>Subject Teacher (IC)</v>
      </c>
      <c r="D17" s="28" t="s">
        <v>17</v>
      </c>
      <c r="E17" s="29" t="s">
        <v>103</v>
      </c>
      <c r="F17" s="30">
        <v>46082</v>
      </c>
      <c r="G17" s="30">
        <v>46083</v>
      </c>
      <c r="H17" s="5" t="str">
        <f t="shared" si="1"/>
        <v>March 2026</v>
      </c>
      <c r="I17" s="31">
        <v>2</v>
      </c>
      <c r="J17" s="30">
        <v>46082</v>
      </c>
      <c r="K17" s="32" t="s">
        <v>104</v>
      </c>
    </row>
    <row r="18" ht="17" customHeight="1" spans="1:11">
      <c r="A18" s="5">
        <f t="shared" si="0"/>
        <v>15</v>
      </c>
      <c r="B18" s="26" t="s">
        <v>64</v>
      </c>
      <c r="C18" s="27" t="str">
        <f>IFERROR(VLOOKUP(B18,Config!$B$7:$C$106,2,0),"")</f>
        <v>Assistant Teacher</v>
      </c>
      <c r="D18" s="28" t="s">
        <v>17</v>
      </c>
      <c r="E18" s="29" t="s">
        <v>103</v>
      </c>
      <c r="F18" s="30">
        <v>46082</v>
      </c>
      <c r="G18" s="30">
        <v>46082</v>
      </c>
      <c r="H18" s="5" t="str">
        <f t="shared" si="1"/>
        <v>March 2026</v>
      </c>
      <c r="I18" s="31">
        <v>1</v>
      </c>
      <c r="J18" s="30">
        <v>46082</v>
      </c>
      <c r="K18" s="32" t="s">
        <v>104</v>
      </c>
    </row>
    <row r="19" ht="17" customHeight="1" spans="1:11">
      <c r="A19" s="5">
        <f t="shared" si="0"/>
        <v>16</v>
      </c>
      <c r="B19" s="26" t="s">
        <v>70</v>
      </c>
      <c r="C19" s="27" t="str">
        <f>IFERROR(VLOOKUP(B19,Config!$B$7:$C$106,2,0),"")</f>
        <v>Lead Teacher</v>
      </c>
      <c r="D19" s="28" t="s">
        <v>17</v>
      </c>
      <c r="E19" s="29" t="s">
        <v>103</v>
      </c>
      <c r="F19" s="30">
        <v>46082</v>
      </c>
      <c r="G19" s="30">
        <v>46084</v>
      </c>
      <c r="H19" s="5" t="str">
        <f t="shared" si="1"/>
        <v>March 2026</v>
      </c>
      <c r="I19" s="31">
        <v>3</v>
      </c>
      <c r="J19" s="30">
        <v>46082</v>
      </c>
      <c r="K19" s="32" t="s">
        <v>104</v>
      </c>
    </row>
    <row r="20" ht="17" customHeight="1" spans="1:11">
      <c r="A20" s="5">
        <f t="shared" si="0"/>
        <v>17</v>
      </c>
      <c r="B20" s="26" t="s">
        <v>71</v>
      </c>
      <c r="C20" s="27" t="str">
        <f>IFERROR(VLOOKUP(B20,Config!$B$7:$C$106,2,0),"")</f>
        <v>Subject Teacher</v>
      </c>
      <c r="D20" s="28" t="s">
        <v>17</v>
      </c>
      <c r="E20" s="29" t="s">
        <v>103</v>
      </c>
      <c r="F20" s="30">
        <v>46082</v>
      </c>
      <c r="G20" s="30">
        <v>46082</v>
      </c>
      <c r="H20" s="5" t="str">
        <f t="shared" si="1"/>
        <v>March 2026</v>
      </c>
      <c r="I20" s="31">
        <v>1</v>
      </c>
      <c r="J20" s="30">
        <v>46082</v>
      </c>
      <c r="K20" s="32" t="s">
        <v>104</v>
      </c>
    </row>
    <row r="21" ht="17" customHeight="1" spans="1:11">
      <c r="A21" s="5">
        <f t="shared" si="0"/>
        <v>18</v>
      </c>
      <c r="B21" s="26" t="s">
        <v>72</v>
      </c>
      <c r="C21" s="27" t="str">
        <f>IFERROR(VLOOKUP(B21,Config!$B$7:$C$106,2,0),"")</f>
        <v/>
      </c>
      <c r="D21" s="28" t="s">
        <v>17</v>
      </c>
      <c r="E21" s="29" t="s">
        <v>103</v>
      </c>
      <c r="F21" s="30">
        <v>46082</v>
      </c>
      <c r="G21" s="30">
        <v>46082</v>
      </c>
      <c r="H21" s="5" t="str">
        <f t="shared" si="1"/>
        <v>March 2026</v>
      </c>
      <c r="I21" s="31">
        <v>1</v>
      </c>
      <c r="J21" s="30">
        <v>46082</v>
      </c>
      <c r="K21" s="32" t="s">
        <v>104</v>
      </c>
    </row>
    <row r="22" ht="17" customHeight="1" spans="1:11">
      <c r="A22" s="5">
        <f t="shared" si="0"/>
        <v>19</v>
      </c>
      <c r="B22" s="26" t="s">
        <v>73</v>
      </c>
      <c r="C22" s="27" t="str">
        <f>IFERROR(VLOOKUP(B22,Config!$B$7:$C$106,2,0),"")</f>
        <v/>
      </c>
      <c r="D22" s="28" t="s">
        <v>17</v>
      </c>
      <c r="E22" s="29" t="s">
        <v>103</v>
      </c>
      <c r="F22" s="30">
        <v>46082</v>
      </c>
      <c r="G22" s="30">
        <v>46084</v>
      </c>
      <c r="H22" s="5" t="str">
        <f t="shared" si="1"/>
        <v>March 2026</v>
      </c>
      <c r="I22" s="31">
        <v>3</v>
      </c>
      <c r="J22" s="30">
        <v>46082</v>
      </c>
      <c r="K22" s="32" t="s">
        <v>104</v>
      </c>
    </row>
    <row r="23" ht="17" customHeight="1" spans="1:11">
      <c r="A23" s="5">
        <f t="shared" si="0"/>
        <v>20</v>
      </c>
      <c r="B23" s="26" t="s">
        <v>75</v>
      </c>
      <c r="C23" s="27" t="str">
        <f>IFERROR(VLOOKUP(B23,Config!$B$7:$C$106,2,0),"")</f>
        <v/>
      </c>
      <c r="D23" s="28" t="s">
        <v>17</v>
      </c>
      <c r="E23" s="29" t="s">
        <v>103</v>
      </c>
      <c r="F23" s="30">
        <v>46082</v>
      </c>
      <c r="G23" s="30">
        <v>46083</v>
      </c>
      <c r="H23" s="5" t="str">
        <f t="shared" si="1"/>
        <v>March 2026</v>
      </c>
      <c r="I23" s="31">
        <v>2</v>
      </c>
      <c r="J23" s="30">
        <v>46082</v>
      </c>
      <c r="K23" s="32" t="s">
        <v>104</v>
      </c>
    </row>
    <row r="24" ht="17" customHeight="1" spans="1:11">
      <c r="A24" s="5">
        <f t="shared" si="0"/>
        <v>21</v>
      </c>
      <c r="B24" s="26" t="s">
        <v>79</v>
      </c>
      <c r="C24" s="27" t="str">
        <f>IFERROR(VLOOKUP(B24,Config!$B$7:$C$106,2,0),"")</f>
        <v/>
      </c>
      <c r="D24" s="28" t="s">
        <v>17</v>
      </c>
      <c r="E24" s="29" t="s">
        <v>103</v>
      </c>
      <c r="F24" s="30">
        <v>46082</v>
      </c>
      <c r="G24" s="30">
        <v>46082</v>
      </c>
      <c r="H24" s="5" t="str">
        <f t="shared" si="1"/>
        <v>March 2026</v>
      </c>
      <c r="I24" s="31">
        <v>1</v>
      </c>
      <c r="J24" s="30">
        <v>46082</v>
      </c>
      <c r="K24" s="32" t="s">
        <v>104</v>
      </c>
    </row>
    <row r="25" ht="17" customHeight="1" spans="1:11">
      <c r="A25" s="5">
        <f t="shared" si="0"/>
        <v>22</v>
      </c>
      <c r="B25" s="26" t="s">
        <v>81</v>
      </c>
      <c r="C25" s="27" t="str">
        <f>IFERROR(VLOOKUP(B25,Config!$B$7:$C$106,2,0),"")</f>
        <v/>
      </c>
      <c r="D25" s="28" t="s">
        <v>17</v>
      </c>
      <c r="E25" s="29" t="s">
        <v>103</v>
      </c>
      <c r="F25" s="30">
        <v>46082</v>
      </c>
      <c r="G25" s="30">
        <v>46082</v>
      </c>
      <c r="H25" s="5" t="str">
        <f t="shared" si="1"/>
        <v>March 2026</v>
      </c>
      <c r="I25" s="31">
        <v>1</v>
      </c>
      <c r="J25" s="30">
        <v>46082</v>
      </c>
      <c r="K25" s="32" t="s">
        <v>104</v>
      </c>
    </row>
    <row r="26" ht="17" customHeight="1" spans="1:11">
      <c r="A26" s="5">
        <f t="shared" si="0"/>
        <v>23</v>
      </c>
      <c r="B26" s="26" t="s">
        <v>90</v>
      </c>
      <c r="C26" s="27" t="str">
        <f>IFERROR(VLOOKUP(B26,Config!$B$7:$C$106,2,0),"")</f>
        <v/>
      </c>
      <c r="D26" s="28" t="s">
        <v>17</v>
      </c>
      <c r="E26" s="29" t="s">
        <v>103</v>
      </c>
      <c r="F26" s="30">
        <v>46082</v>
      </c>
      <c r="G26" s="30">
        <v>46095</v>
      </c>
      <c r="H26" s="5" t="str">
        <f t="shared" si="1"/>
        <v>March 2026</v>
      </c>
      <c r="I26" s="31">
        <v>14</v>
      </c>
      <c r="J26" s="30">
        <v>46082</v>
      </c>
      <c r="K26" s="32" t="s">
        <v>104</v>
      </c>
    </row>
    <row r="27" ht="17" customHeight="1" spans="1:11">
      <c r="A27" s="5">
        <f t="shared" si="0"/>
        <v>24</v>
      </c>
      <c r="B27" s="26" t="s">
        <v>19</v>
      </c>
      <c r="C27" s="27" t="str">
        <f>IFERROR(VLOOKUP(B27,Config!$B$7:$C$106,2,0),"")</f>
        <v>Principal</v>
      </c>
      <c r="D27" s="28" t="s">
        <v>17</v>
      </c>
      <c r="E27" s="29" t="s">
        <v>105</v>
      </c>
      <c r="F27" s="30">
        <v>46147</v>
      </c>
      <c r="G27" s="30">
        <v>46147</v>
      </c>
      <c r="H27" s="5" t="str">
        <f t="shared" si="1"/>
        <v>May 2026</v>
      </c>
      <c r="I27" s="31">
        <v>1</v>
      </c>
      <c r="J27" s="30">
        <v>46140</v>
      </c>
      <c r="K27" s="33" t="s">
        <v>106</v>
      </c>
    </row>
    <row r="28" ht="17" customHeight="1" spans="1:11">
      <c r="A28" s="5">
        <f t="shared" si="0"/>
        <v>25</v>
      </c>
      <c r="B28" s="26" t="s">
        <v>28</v>
      </c>
      <c r="C28" s="27" t="str">
        <f>IFERROR(VLOOKUP(B28,Config!$B$7:$C$106,2,0),"")</f>
        <v>Preschool Co-ordinator</v>
      </c>
      <c r="D28" s="28" t="s">
        <v>21</v>
      </c>
      <c r="E28" s="29" t="s">
        <v>107</v>
      </c>
      <c r="F28" s="30">
        <v>46160</v>
      </c>
      <c r="G28" s="30">
        <v>46160</v>
      </c>
      <c r="H28" s="5" t="str">
        <f t="shared" si="1"/>
        <v>May 2026</v>
      </c>
      <c r="I28" s="31">
        <v>1</v>
      </c>
      <c r="J28" s="30">
        <v>46161</v>
      </c>
      <c r="K28" s="32" t="s">
        <v>104</v>
      </c>
    </row>
    <row r="29" ht="17" customHeight="1" spans="1:11">
      <c r="A29" s="5">
        <f t="shared" si="0"/>
        <v>26</v>
      </c>
      <c r="B29" s="26" t="s">
        <v>28</v>
      </c>
      <c r="C29" s="27" t="str">
        <f>IFERROR(VLOOKUP(B29,Config!$B$7:$C$106,2,0),"")</f>
        <v>Preschool Co-ordinator</v>
      </c>
      <c r="D29" s="28" t="s">
        <v>17</v>
      </c>
      <c r="E29" s="29" t="s">
        <v>108</v>
      </c>
      <c r="F29" s="30">
        <v>46131</v>
      </c>
      <c r="G29" s="30">
        <v>46131</v>
      </c>
      <c r="H29" s="5" t="str">
        <f t="shared" si="1"/>
        <v>April 2026</v>
      </c>
      <c r="I29" s="31">
        <v>1</v>
      </c>
      <c r="J29" s="30">
        <v>46138</v>
      </c>
      <c r="K29" s="32" t="s">
        <v>104</v>
      </c>
    </row>
    <row r="30" ht="17" customHeight="1" spans="1:11">
      <c r="A30" s="5">
        <f t="shared" si="0"/>
        <v>27</v>
      </c>
      <c r="B30" s="26" t="s">
        <v>28</v>
      </c>
      <c r="C30" s="27" t="str">
        <f>IFERROR(VLOOKUP(B30,Config!$B$7:$C$106,2,0),"")</f>
        <v>Preschool Co-ordinator</v>
      </c>
      <c r="D30" s="28" t="s">
        <v>17</v>
      </c>
      <c r="E30" s="29" t="s">
        <v>108</v>
      </c>
      <c r="F30" s="30">
        <v>46135</v>
      </c>
      <c r="G30" s="30">
        <v>46135</v>
      </c>
      <c r="H30" s="5" t="str">
        <f t="shared" si="1"/>
        <v>April 2026</v>
      </c>
      <c r="I30" s="31">
        <v>1</v>
      </c>
      <c r="J30" s="30">
        <v>46138</v>
      </c>
      <c r="K30" s="32" t="s">
        <v>104</v>
      </c>
    </row>
    <row r="31" ht="17" customHeight="1" spans="1:11">
      <c r="A31" s="5">
        <f t="shared" si="0"/>
        <v>28</v>
      </c>
      <c r="B31" s="26" t="s">
        <v>28</v>
      </c>
      <c r="C31" s="27" t="str">
        <f>IFERROR(VLOOKUP(B31,Config!$B$7:$C$106,2,0),"")</f>
        <v>Preschool Co-ordinator</v>
      </c>
      <c r="D31" s="28" t="s">
        <v>17</v>
      </c>
      <c r="E31" s="29" t="s">
        <v>108</v>
      </c>
      <c r="F31" s="30">
        <v>46131</v>
      </c>
      <c r="G31" s="30">
        <v>46131</v>
      </c>
      <c r="H31" s="5" t="str">
        <f t="shared" si="1"/>
        <v>April 2026</v>
      </c>
      <c r="I31" s="31">
        <v>1</v>
      </c>
      <c r="J31" s="30">
        <v>46138</v>
      </c>
      <c r="K31" s="33" t="s">
        <v>106</v>
      </c>
    </row>
    <row r="32" ht="17" customHeight="1" spans="1:11">
      <c r="A32" s="5">
        <f t="shared" si="0"/>
        <v>29</v>
      </c>
      <c r="B32" s="26" t="s">
        <v>34</v>
      </c>
      <c r="C32" s="27" t="str">
        <f>IFERROR(VLOOKUP(B32,Config!$B$7:$C$106,2,0),"")</f>
        <v>Class Teacher</v>
      </c>
      <c r="D32" s="28" t="s">
        <v>17</v>
      </c>
      <c r="E32" s="29" t="s">
        <v>109</v>
      </c>
      <c r="F32" s="30">
        <v>46153</v>
      </c>
      <c r="G32" s="30">
        <v>46153</v>
      </c>
      <c r="H32" s="5" t="str">
        <f t="shared" si="1"/>
        <v>May 2026</v>
      </c>
      <c r="I32" s="31">
        <v>1</v>
      </c>
      <c r="J32" s="30">
        <v>46149</v>
      </c>
      <c r="K32" s="33" t="s">
        <v>106</v>
      </c>
    </row>
    <row r="33" ht="17" customHeight="1" spans="1:11">
      <c r="A33" s="5">
        <f t="shared" si="0"/>
        <v>30</v>
      </c>
      <c r="B33" s="26" t="s">
        <v>36</v>
      </c>
      <c r="C33" s="27" t="str">
        <f>IFERROR(VLOOKUP(B33,Config!$B$7:$C$106,2,0),"")</f>
        <v>Lead Teacher</v>
      </c>
      <c r="D33" s="28" t="s">
        <v>17</v>
      </c>
      <c r="E33" s="29" t="s">
        <v>110</v>
      </c>
      <c r="F33" s="30">
        <v>46148</v>
      </c>
      <c r="G33" s="30">
        <v>46149</v>
      </c>
      <c r="H33" s="5" t="str">
        <f t="shared" si="1"/>
        <v>May 2026</v>
      </c>
      <c r="I33" s="31">
        <v>2</v>
      </c>
      <c r="J33" s="30">
        <v>46148</v>
      </c>
      <c r="K33" s="32" t="s">
        <v>104</v>
      </c>
    </row>
    <row r="34" ht="17" customHeight="1" spans="1:11">
      <c r="A34" s="5">
        <f t="shared" si="0"/>
        <v>31</v>
      </c>
      <c r="B34" s="26" t="s">
        <v>36</v>
      </c>
      <c r="C34" s="27" t="str">
        <f>IFERROR(VLOOKUP(B34,Config!$B$7:$C$106,2,0),"")</f>
        <v>Lead Teacher</v>
      </c>
      <c r="D34" s="28" t="s">
        <v>17</v>
      </c>
      <c r="E34" s="29" t="s">
        <v>111</v>
      </c>
      <c r="F34" s="30">
        <v>46146</v>
      </c>
      <c r="G34" s="30">
        <v>46146</v>
      </c>
      <c r="H34" s="5" t="str">
        <f t="shared" si="1"/>
        <v>May 2026</v>
      </c>
      <c r="I34" s="31">
        <v>1</v>
      </c>
      <c r="J34" s="30">
        <v>46147</v>
      </c>
      <c r="K34" s="32" t="s">
        <v>104</v>
      </c>
    </row>
    <row r="35" ht="17" customHeight="1" spans="1:11">
      <c r="A35" s="5">
        <f t="shared" si="0"/>
        <v>32</v>
      </c>
      <c r="B35" s="26" t="s">
        <v>36</v>
      </c>
      <c r="C35" s="27" t="str">
        <f>IFERROR(VLOOKUP(B35,Config!$B$7:$C$106,2,0),"")</f>
        <v>Lead Teacher</v>
      </c>
      <c r="D35" s="28" t="s">
        <v>17</v>
      </c>
      <c r="E35" s="29" t="s">
        <v>108</v>
      </c>
      <c r="F35" s="30">
        <v>46128</v>
      </c>
      <c r="G35" s="30">
        <v>46128</v>
      </c>
      <c r="H35" s="5" t="str">
        <f t="shared" si="1"/>
        <v>April 2026</v>
      </c>
      <c r="I35" s="31">
        <v>1</v>
      </c>
      <c r="J35" s="30">
        <v>46138</v>
      </c>
      <c r="K35" s="32" t="s">
        <v>104</v>
      </c>
    </row>
    <row r="36" ht="17" customHeight="1" spans="1:11">
      <c r="A36" s="5">
        <f t="shared" si="0"/>
        <v>33</v>
      </c>
      <c r="B36" s="26" t="s">
        <v>39</v>
      </c>
      <c r="C36" s="27" t="str">
        <f>IFERROR(VLOOKUP(B36,Config!$B$7:$C$106,2,0),"")</f>
        <v>Asst. Co-ord. (Pre-School)</v>
      </c>
      <c r="D36" s="28" t="s">
        <v>17</v>
      </c>
      <c r="E36" s="29" t="s">
        <v>108</v>
      </c>
      <c r="F36" s="30">
        <v>46135</v>
      </c>
      <c r="G36" s="30">
        <v>46138</v>
      </c>
      <c r="H36" s="5" t="str">
        <f t="shared" si="1"/>
        <v>April 2026</v>
      </c>
      <c r="I36" s="31">
        <v>4</v>
      </c>
      <c r="J36" s="30">
        <v>46138</v>
      </c>
      <c r="K36" s="32" t="s">
        <v>104</v>
      </c>
    </row>
    <row r="37" ht="17" customHeight="1" spans="1:11">
      <c r="A37" s="5">
        <f t="shared" si="0"/>
        <v>34</v>
      </c>
      <c r="B37" s="26" t="s">
        <v>41</v>
      </c>
      <c r="C37" s="27" t="str">
        <f>IFERROR(VLOOKUP(B37,Config!$B$7:$C$106,2,0),"")</f>
        <v>Primary Co-ordinator</v>
      </c>
      <c r="D37" s="28" t="s">
        <v>21</v>
      </c>
      <c r="E37" s="29" t="s">
        <v>112</v>
      </c>
      <c r="F37" s="30">
        <v>46149</v>
      </c>
      <c r="G37" s="30">
        <v>46149</v>
      </c>
      <c r="H37" s="5" t="str">
        <f t="shared" si="1"/>
        <v>May 2026</v>
      </c>
      <c r="I37" s="31">
        <v>1</v>
      </c>
      <c r="J37" s="30">
        <v>46149</v>
      </c>
      <c r="K37" s="34" t="s">
        <v>104</v>
      </c>
    </row>
    <row r="38" ht="17" customHeight="1" spans="1:11">
      <c r="A38" s="5">
        <f t="shared" si="0"/>
        <v>35</v>
      </c>
      <c r="B38" s="26" t="s">
        <v>43</v>
      </c>
      <c r="C38" s="27" t="str">
        <f>IFERROR(VLOOKUP(B38,Config!$B$7:$C$106,2,0),"")</f>
        <v>Asst. Co-ord. (Secondary)</v>
      </c>
      <c r="D38" s="28" t="s">
        <v>17</v>
      </c>
      <c r="E38" s="29" t="s">
        <v>113</v>
      </c>
      <c r="F38" s="30">
        <v>46155</v>
      </c>
      <c r="G38" s="30">
        <v>46155</v>
      </c>
      <c r="H38" s="5" t="str">
        <f t="shared" si="1"/>
        <v>May 2026</v>
      </c>
      <c r="I38" s="31">
        <v>1</v>
      </c>
      <c r="J38" s="30">
        <v>46155</v>
      </c>
      <c r="K38" s="32" t="s">
        <v>104</v>
      </c>
    </row>
    <row r="39" ht="17" customHeight="1" spans="1:11">
      <c r="A39" s="5">
        <f t="shared" si="0"/>
        <v>36</v>
      </c>
      <c r="B39" s="26" t="s">
        <v>45</v>
      </c>
      <c r="C39" s="27" t="str">
        <f>IFERROR(VLOOKUP(B39,Config!$B$7:$C$106,2,0),"")</f>
        <v>Head Of BC</v>
      </c>
      <c r="D39" s="28" t="s">
        <v>21</v>
      </c>
      <c r="E39" s="29" t="s">
        <v>114</v>
      </c>
      <c r="F39" s="30">
        <v>46142</v>
      </c>
      <c r="G39" s="30">
        <v>46142</v>
      </c>
      <c r="H39" s="5" t="str">
        <f t="shared" si="1"/>
        <v>April 2026</v>
      </c>
      <c r="I39" s="31">
        <v>1</v>
      </c>
      <c r="J39" s="30">
        <v>46142</v>
      </c>
      <c r="K39" s="32" t="s">
        <v>104</v>
      </c>
    </row>
    <row r="40" ht="17" customHeight="1" spans="1:11">
      <c r="A40" s="5">
        <f t="shared" si="0"/>
        <v>37</v>
      </c>
      <c r="B40" s="26" t="s">
        <v>45</v>
      </c>
      <c r="C40" s="27" t="str">
        <f>IFERROR(VLOOKUP(B40,Config!$B$7:$C$106,2,0),"")</f>
        <v>Head Of BC</v>
      </c>
      <c r="D40" s="28" t="s">
        <v>17</v>
      </c>
      <c r="E40" s="29" t="s">
        <v>115</v>
      </c>
      <c r="F40" s="30">
        <v>46140</v>
      </c>
      <c r="G40" s="30">
        <v>46140</v>
      </c>
      <c r="H40" s="5" t="str">
        <f t="shared" si="1"/>
        <v>April 2026</v>
      </c>
      <c r="I40" s="31">
        <v>1</v>
      </c>
      <c r="J40" s="30">
        <v>46140</v>
      </c>
      <c r="K40" s="33" t="s">
        <v>106</v>
      </c>
    </row>
    <row r="41" ht="17" customHeight="1" spans="1:11">
      <c r="A41" s="5">
        <f t="shared" si="0"/>
        <v>38</v>
      </c>
      <c r="B41" s="26" t="s">
        <v>45</v>
      </c>
      <c r="C41" s="27" t="str">
        <f>IFERROR(VLOOKUP(B41,Config!$B$7:$C$106,2,0),"")</f>
        <v>Head Of BC</v>
      </c>
      <c r="D41" s="28" t="s">
        <v>17</v>
      </c>
      <c r="E41" s="29" t="s">
        <v>108</v>
      </c>
      <c r="F41" s="30">
        <v>46137</v>
      </c>
      <c r="G41" s="30">
        <v>46137</v>
      </c>
      <c r="H41" s="5" t="str">
        <f t="shared" si="1"/>
        <v>April 2026</v>
      </c>
      <c r="I41" s="31">
        <v>1</v>
      </c>
      <c r="J41" s="30">
        <v>46138</v>
      </c>
      <c r="K41" s="32" t="s">
        <v>104</v>
      </c>
    </row>
    <row r="42" ht="17" customHeight="1" spans="1:11">
      <c r="A42" s="5">
        <f t="shared" si="0"/>
        <v>39</v>
      </c>
      <c r="B42" s="26" t="s">
        <v>48</v>
      </c>
      <c r="C42" s="27" t="str">
        <f>IFERROR(VLOOKUP(B42,Config!$B$7:$C$106,2,0),"")</f>
        <v>Teacher's Assistant</v>
      </c>
      <c r="D42" s="28" t="s">
        <v>17</v>
      </c>
      <c r="E42" s="29" t="s">
        <v>116</v>
      </c>
      <c r="F42" s="30">
        <v>46153</v>
      </c>
      <c r="G42" s="30">
        <v>46153</v>
      </c>
      <c r="H42" s="5" t="str">
        <f t="shared" si="1"/>
        <v>May 2026</v>
      </c>
      <c r="I42" s="31">
        <v>1</v>
      </c>
      <c r="J42" s="30">
        <v>46153</v>
      </c>
      <c r="K42" s="32" t="s">
        <v>104</v>
      </c>
    </row>
    <row r="43" ht="17" customHeight="1" spans="1:11">
      <c r="A43" s="5">
        <f t="shared" si="0"/>
        <v>40</v>
      </c>
      <c r="B43" s="26" t="s">
        <v>48</v>
      </c>
      <c r="C43" s="27" t="str">
        <f>IFERROR(VLOOKUP(B43,Config!$B$7:$C$106,2,0),"")</f>
        <v>Teacher's Assistant</v>
      </c>
      <c r="D43" s="28" t="s">
        <v>17</v>
      </c>
      <c r="E43" s="29" t="s">
        <v>117</v>
      </c>
      <c r="F43" s="30">
        <v>46159</v>
      </c>
      <c r="G43" s="30">
        <v>46159</v>
      </c>
      <c r="H43" s="5" t="str">
        <f t="shared" si="1"/>
        <v>May 2026</v>
      </c>
      <c r="I43" s="31">
        <v>1</v>
      </c>
      <c r="J43" s="30">
        <v>46159</v>
      </c>
      <c r="K43" s="32" t="s">
        <v>104</v>
      </c>
    </row>
    <row r="44" ht="17" customHeight="1" spans="1:11">
      <c r="A44" s="5">
        <f t="shared" si="0"/>
        <v>41</v>
      </c>
      <c r="B44" s="26" t="s">
        <v>48</v>
      </c>
      <c r="C44" s="27" t="str">
        <f>IFERROR(VLOOKUP(B44,Config!$B$7:$C$106,2,0),"")</f>
        <v>Teacher's Assistant</v>
      </c>
      <c r="D44" s="28" t="s">
        <v>17</v>
      </c>
      <c r="E44" s="29" t="s">
        <v>118</v>
      </c>
      <c r="F44" s="30">
        <v>46163</v>
      </c>
      <c r="G44" s="30">
        <v>46163</v>
      </c>
      <c r="H44" s="5" t="str">
        <f t="shared" si="1"/>
        <v>May 2026</v>
      </c>
      <c r="I44" s="31">
        <v>1</v>
      </c>
      <c r="J44" s="30">
        <v>46163</v>
      </c>
      <c r="K44" s="32" t="s">
        <v>104</v>
      </c>
    </row>
    <row r="45" ht="17" customHeight="1" spans="1:11">
      <c r="A45" s="5">
        <f t="shared" si="0"/>
        <v>42</v>
      </c>
      <c r="B45" s="26" t="s">
        <v>50</v>
      </c>
      <c r="C45" s="27" t="str">
        <f>IFERROR(VLOOKUP(B45,Config!$B$7:$C$106,2,0),"")</f>
        <v>Teacher's Assistant</v>
      </c>
      <c r="D45" s="28" t="s">
        <v>17</v>
      </c>
      <c r="E45" s="29" t="s">
        <v>119</v>
      </c>
      <c r="F45" s="30">
        <v>46148</v>
      </c>
      <c r="G45" s="30">
        <v>46148</v>
      </c>
      <c r="H45" s="5" t="str">
        <f t="shared" si="1"/>
        <v>May 2026</v>
      </c>
      <c r="I45" s="31">
        <v>1</v>
      </c>
      <c r="J45" s="30">
        <v>46148</v>
      </c>
      <c r="K45" s="32" t="s">
        <v>104</v>
      </c>
    </row>
    <row r="46" ht="17" customHeight="1" spans="1:11">
      <c r="A46" s="5">
        <f t="shared" si="0"/>
        <v>43</v>
      </c>
      <c r="B46" s="26" t="s">
        <v>50</v>
      </c>
      <c r="C46" s="27" t="str">
        <f>IFERROR(VLOOKUP(B46,Config!$B$7:$C$106,2,0),"")</f>
        <v>Teacher's Assistant</v>
      </c>
      <c r="D46" s="28" t="s">
        <v>17</v>
      </c>
      <c r="E46" s="29" t="s">
        <v>120</v>
      </c>
      <c r="F46" s="30">
        <v>46152</v>
      </c>
      <c r="G46" s="30">
        <v>46152</v>
      </c>
      <c r="H46" s="5" t="str">
        <f t="shared" si="1"/>
        <v>May 2026</v>
      </c>
      <c r="I46" s="31">
        <v>1</v>
      </c>
      <c r="J46" s="30">
        <v>46152</v>
      </c>
      <c r="K46" s="32" t="s">
        <v>104</v>
      </c>
    </row>
    <row r="47" ht="17" customHeight="1" spans="1:11">
      <c r="A47" s="5">
        <f t="shared" si="0"/>
        <v>44</v>
      </c>
      <c r="B47" s="26" t="s">
        <v>50</v>
      </c>
      <c r="C47" s="27" t="str">
        <f>IFERROR(VLOOKUP(B47,Config!$B$7:$C$106,2,0),"")</f>
        <v>Teacher's Assistant</v>
      </c>
      <c r="D47" s="28" t="s">
        <v>17</v>
      </c>
      <c r="E47" s="29" t="s">
        <v>121</v>
      </c>
      <c r="F47" s="30">
        <v>46153</v>
      </c>
      <c r="G47" s="30">
        <v>46153</v>
      </c>
      <c r="H47" s="5" t="str">
        <f t="shared" si="1"/>
        <v>May 2026</v>
      </c>
      <c r="I47" s="31">
        <v>1</v>
      </c>
      <c r="J47" s="30">
        <v>46153</v>
      </c>
      <c r="K47" s="32" t="s">
        <v>104</v>
      </c>
    </row>
    <row r="48" ht="17" customHeight="1" spans="1:11">
      <c r="A48" s="5">
        <f t="shared" si="0"/>
        <v>45</v>
      </c>
      <c r="B48" s="26" t="s">
        <v>50</v>
      </c>
      <c r="C48" s="27" t="str">
        <f>IFERROR(VLOOKUP(B48,Config!$B$7:$C$106,2,0),"")</f>
        <v>Teacher's Assistant</v>
      </c>
      <c r="D48" s="28" t="s">
        <v>17</v>
      </c>
      <c r="E48" s="29" t="s">
        <v>122</v>
      </c>
      <c r="F48" s="30">
        <v>46140</v>
      </c>
      <c r="G48" s="30">
        <v>46140</v>
      </c>
      <c r="H48" s="5" t="str">
        <f t="shared" si="1"/>
        <v>April 2026</v>
      </c>
      <c r="I48" s="31">
        <v>1</v>
      </c>
      <c r="J48" s="30">
        <v>46140</v>
      </c>
      <c r="K48" s="32" t="s">
        <v>104</v>
      </c>
    </row>
    <row r="49" ht="17" customHeight="1" spans="1:11">
      <c r="A49" s="5">
        <f t="shared" si="0"/>
        <v>46</v>
      </c>
      <c r="B49" s="26" t="s">
        <v>51</v>
      </c>
      <c r="C49" s="27" t="str">
        <f>IFERROR(VLOOKUP(B49,Config!$B$7:$C$106,2,0),"")</f>
        <v>Subject Teacher (IC)</v>
      </c>
      <c r="D49" s="28" t="s">
        <v>17</v>
      </c>
      <c r="E49" s="29" t="s">
        <v>123</v>
      </c>
      <c r="F49" s="30">
        <v>46130</v>
      </c>
      <c r="G49" s="30">
        <v>46135</v>
      </c>
      <c r="H49" s="5" t="str">
        <f t="shared" si="1"/>
        <v>April 2026</v>
      </c>
      <c r="I49" s="31">
        <v>5</v>
      </c>
      <c r="J49" s="30">
        <v>46138</v>
      </c>
      <c r="K49" s="32" t="s">
        <v>104</v>
      </c>
    </row>
    <row r="50" ht="17" customHeight="1" spans="1:11">
      <c r="A50" s="5">
        <f t="shared" si="0"/>
        <v>47</v>
      </c>
      <c r="B50" s="26" t="s">
        <v>53</v>
      </c>
      <c r="C50" s="27" t="str">
        <f>IFERROR(VLOOKUP(B50,Config!$B$7:$C$106,2,0),"")</f>
        <v>Teacher's Assistant</v>
      </c>
      <c r="D50" s="28" t="s">
        <v>17</v>
      </c>
      <c r="E50" s="29" t="s">
        <v>124</v>
      </c>
      <c r="F50" s="30">
        <v>46148</v>
      </c>
      <c r="G50" s="30">
        <v>46148</v>
      </c>
      <c r="H50" s="5" t="str">
        <f t="shared" si="1"/>
        <v>May 2026</v>
      </c>
      <c r="I50" s="31">
        <v>1</v>
      </c>
      <c r="J50" s="30">
        <v>46148</v>
      </c>
      <c r="K50" s="32" t="s">
        <v>104</v>
      </c>
    </row>
    <row r="51" ht="17" customHeight="1" spans="1:11">
      <c r="A51" s="5">
        <f t="shared" si="0"/>
        <v>48</v>
      </c>
      <c r="B51" s="26" t="s">
        <v>55</v>
      </c>
      <c r="C51" s="27" t="str">
        <f>IFERROR(VLOOKUP(B51,Config!$B$7:$C$106,2,0),"")</f>
        <v>Teacher's Assistant</v>
      </c>
      <c r="D51" s="28" t="s">
        <v>21</v>
      </c>
      <c r="E51" s="29" t="s">
        <v>125</v>
      </c>
      <c r="F51" s="30">
        <v>46162</v>
      </c>
      <c r="G51" s="30">
        <v>46162</v>
      </c>
      <c r="H51" s="5" t="str">
        <f t="shared" si="1"/>
        <v>May 2026</v>
      </c>
      <c r="I51" s="31">
        <v>1</v>
      </c>
      <c r="J51" s="30">
        <v>46162</v>
      </c>
      <c r="K51" s="34" t="s">
        <v>104</v>
      </c>
    </row>
    <row r="52" ht="17" customHeight="1" spans="1:11">
      <c r="A52" s="5">
        <f t="shared" si="0"/>
        <v>49</v>
      </c>
      <c r="B52" s="26" t="s">
        <v>56</v>
      </c>
      <c r="C52" s="27" t="str">
        <f>IFERROR(VLOOKUP(B52,Config!$B$7:$C$106,2,0),"")</f>
        <v/>
      </c>
      <c r="D52" s="28" t="s">
        <v>17</v>
      </c>
      <c r="E52" s="29" t="s">
        <v>126</v>
      </c>
      <c r="F52" s="30">
        <v>46145</v>
      </c>
      <c r="G52" s="30">
        <v>46145</v>
      </c>
      <c r="H52" s="5" t="str">
        <f t="shared" si="1"/>
        <v>May 2026</v>
      </c>
      <c r="I52" s="31">
        <v>1</v>
      </c>
      <c r="J52" s="30">
        <v>46145</v>
      </c>
      <c r="K52" s="32" t="s">
        <v>104</v>
      </c>
    </row>
    <row r="53" ht="17" customHeight="1" spans="1:11">
      <c r="A53" s="5">
        <f t="shared" si="0"/>
        <v>50</v>
      </c>
      <c r="B53" s="26" t="s">
        <v>57</v>
      </c>
      <c r="C53" s="27" t="str">
        <f>IFERROR(VLOOKUP(B53,Config!$B$7:$C$106,2,0),"")</f>
        <v>Class Teacher</v>
      </c>
      <c r="D53" s="28" t="s">
        <v>17</v>
      </c>
      <c r="E53" s="29" t="s">
        <v>127</v>
      </c>
      <c r="F53" s="30">
        <v>46156</v>
      </c>
      <c r="G53" s="30">
        <v>46156</v>
      </c>
      <c r="H53" s="5" t="str">
        <f t="shared" si="1"/>
        <v>May 2026</v>
      </c>
      <c r="I53" s="31">
        <v>1</v>
      </c>
      <c r="J53" s="30">
        <v>46156</v>
      </c>
      <c r="K53" s="32" t="s">
        <v>104</v>
      </c>
    </row>
    <row r="54" ht="17" customHeight="1" spans="1:11">
      <c r="A54" s="5">
        <f t="shared" si="0"/>
        <v>51</v>
      </c>
      <c r="B54" s="26" t="s">
        <v>57</v>
      </c>
      <c r="C54" s="27" t="str">
        <f>IFERROR(VLOOKUP(B54,Config!$B$7:$C$106,2,0),"")</f>
        <v>Class Teacher</v>
      </c>
      <c r="D54" s="28" t="s">
        <v>17</v>
      </c>
      <c r="E54" s="29" t="s">
        <v>128</v>
      </c>
      <c r="F54" s="30">
        <v>46161</v>
      </c>
      <c r="G54" s="30">
        <v>46161</v>
      </c>
      <c r="H54" s="5" t="str">
        <f t="shared" si="1"/>
        <v>May 2026</v>
      </c>
      <c r="I54" s="31">
        <v>1</v>
      </c>
      <c r="J54" s="30">
        <v>46161</v>
      </c>
      <c r="K54" s="32" t="s">
        <v>104</v>
      </c>
    </row>
    <row r="55" ht="17" customHeight="1" spans="1:11">
      <c r="A55" s="5">
        <f t="shared" si="0"/>
        <v>52</v>
      </c>
      <c r="B55" s="26" t="s">
        <v>57</v>
      </c>
      <c r="C55" s="27" t="str">
        <f>IFERROR(VLOOKUP(B55,Config!$B$7:$C$106,2,0),"")</f>
        <v>Class Teacher</v>
      </c>
      <c r="D55" s="28" t="s">
        <v>17</v>
      </c>
      <c r="E55" s="29" t="s">
        <v>129</v>
      </c>
      <c r="F55" s="30">
        <v>46139</v>
      </c>
      <c r="G55" s="30">
        <v>46139</v>
      </c>
      <c r="H55" s="5" t="str">
        <f t="shared" si="1"/>
        <v>April 2026</v>
      </c>
      <c r="I55" s="31">
        <v>1</v>
      </c>
      <c r="J55" s="30">
        <v>46138</v>
      </c>
      <c r="K55" s="32" t="s">
        <v>104</v>
      </c>
    </row>
    <row r="56" ht="17" customHeight="1" spans="1:11">
      <c r="A56" s="5">
        <f t="shared" si="0"/>
        <v>53</v>
      </c>
      <c r="B56" s="26" t="s">
        <v>57</v>
      </c>
      <c r="C56" s="27" t="str">
        <f>IFERROR(VLOOKUP(B56,Config!$B$7:$C$106,2,0),"")</f>
        <v>Class Teacher</v>
      </c>
      <c r="D56" s="28" t="s">
        <v>17</v>
      </c>
      <c r="E56" s="29" t="s">
        <v>130</v>
      </c>
      <c r="F56" s="30">
        <v>46138</v>
      </c>
      <c r="G56" s="30">
        <v>46138</v>
      </c>
      <c r="H56" s="5" t="str">
        <f t="shared" si="1"/>
        <v>April 2026</v>
      </c>
      <c r="I56" s="31">
        <v>1</v>
      </c>
      <c r="J56" s="30">
        <v>46141</v>
      </c>
      <c r="K56" s="34" t="s">
        <v>104</v>
      </c>
    </row>
    <row r="57" ht="17" customHeight="1" spans="1:11">
      <c r="A57" s="5">
        <f t="shared" si="0"/>
        <v>54</v>
      </c>
      <c r="B57" s="26" t="s">
        <v>57</v>
      </c>
      <c r="C57" s="27" t="str">
        <f>IFERROR(VLOOKUP(B57,Config!$B$7:$C$106,2,0),"")</f>
        <v>Class Teacher</v>
      </c>
      <c r="D57" s="28" t="s">
        <v>17</v>
      </c>
      <c r="E57" s="29" t="s">
        <v>131</v>
      </c>
      <c r="F57" s="30">
        <v>46131</v>
      </c>
      <c r="G57" s="30">
        <v>46132</v>
      </c>
      <c r="H57" s="5" t="str">
        <f t="shared" si="1"/>
        <v>April 2026</v>
      </c>
      <c r="I57" s="31">
        <v>2</v>
      </c>
      <c r="J57" s="30">
        <v>46138</v>
      </c>
      <c r="K57" s="32" t="s">
        <v>104</v>
      </c>
    </row>
    <row r="58" ht="17" customHeight="1" spans="1:11">
      <c r="A58" s="5">
        <f t="shared" si="0"/>
        <v>55</v>
      </c>
      <c r="B58" s="26" t="s">
        <v>58</v>
      </c>
      <c r="C58" s="27" t="str">
        <f>IFERROR(VLOOKUP(B58,Config!$B$7:$C$106,2,0),"")</f>
        <v>Subject Teacher</v>
      </c>
      <c r="D58" s="28" t="s">
        <v>17</v>
      </c>
      <c r="E58" s="29" t="s">
        <v>132</v>
      </c>
      <c r="F58" s="30">
        <v>46159</v>
      </c>
      <c r="G58" s="30">
        <v>46159</v>
      </c>
      <c r="H58" s="5" t="str">
        <f t="shared" si="1"/>
        <v>May 2026</v>
      </c>
      <c r="I58" s="31">
        <v>1</v>
      </c>
      <c r="J58" s="30">
        <v>46159</v>
      </c>
      <c r="K58" s="32" t="s">
        <v>104</v>
      </c>
    </row>
    <row r="59" ht="17" customHeight="1" spans="1:11">
      <c r="A59" s="5">
        <f t="shared" si="0"/>
        <v>56</v>
      </c>
      <c r="B59" s="26" t="s">
        <v>60</v>
      </c>
      <c r="C59" s="27" t="str">
        <f>IFERROR(VLOOKUP(B59,Config!$B$7:$C$106,2,0),"")</f>
        <v>IC Co-ordinator</v>
      </c>
      <c r="D59" s="28" t="s">
        <v>17</v>
      </c>
      <c r="E59" s="29" t="s">
        <v>108</v>
      </c>
      <c r="F59" s="30">
        <v>46121</v>
      </c>
      <c r="G59" s="30">
        <v>46122</v>
      </c>
      <c r="H59" s="5" t="str">
        <f t="shared" si="1"/>
        <v>April 2026</v>
      </c>
      <c r="I59" s="31">
        <v>2</v>
      </c>
      <c r="J59" s="30">
        <v>46138</v>
      </c>
      <c r="K59" s="32" t="s">
        <v>104</v>
      </c>
    </row>
    <row r="60" ht="17" customHeight="1" spans="1:11">
      <c r="A60" s="5">
        <f t="shared" si="0"/>
        <v>57</v>
      </c>
      <c r="B60" s="26" t="s">
        <v>62</v>
      </c>
      <c r="C60" s="27" t="str">
        <f>IFERROR(VLOOKUP(B60,Config!$B$7:$C$106,2,0),"")</f>
        <v>Subject Teacher (IC)</v>
      </c>
      <c r="D60" s="28" t="s">
        <v>21</v>
      </c>
      <c r="E60" s="29" t="s">
        <v>133</v>
      </c>
      <c r="F60" s="30">
        <v>46155</v>
      </c>
      <c r="G60" s="30">
        <v>46155</v>
      </c>
      <c r="H60" s="5" t="str">
        <f t="shared" si="1"/>
        <v>May 2026</v>
      </c>
      <c r="I60" s="31">
        <v>1</v>
      </c>
      <c r="J60" s="30">
        <v>46155</v>
      </c>
      <c r="K60" s="34" t="s">
        <v>104</v>
      </c>
    </row>
    <row r="61" ht="17" customHeight="1" spans="1:11">
      <c r="A61" s="5">
        <f t="shared" si="0"/>
        <v>58</v>
      </c>
      <c r="B61" s="26" t="s">
        <v>63</v>
      </c>
      <c r="C61" s="27" t="str">
        <f>IFERROR(VLOOKUP(B61,Config!$B$7:$C$106,2,0),"")</f>
        <v>Class Teacher</v>
      </c>
      <c r="D61" s="28" t="s">
        <v>17</v>
      </c>
      <c r="E61" s="29" t="s">
        <v>134</v>
      </c>
      <c r="F61" s="30">
        <v>46179</v>
      </c>
      <c r="G61" s="30">
        <v>46179</v>
      </c>
      <c r="H61" s="5" t="str">
        <f t="shared" si="1"/>
        <v>June 2026</v>
      </c>
      <c r="I61" s="31">
        <v>1</v>
      </c>
      <c r="J61" s="30">
        <v>46178</v>
      </c>
      <c r="K61" s="34" t="s">
        <v>104</v>
      </c>
    </row>
    <row r="62" ht="17" customHeight="1" spans="1:11">
      <c r="A62" s="5">
        <f t="shared" si="0"/>
        <v>59</v>
      </c>
      <c r="B62" s="26" t="s">
        <v>63</v>
      </c>
      <c r="C62" s="27" t="str">
        <f>IFERROR(VLOOKUP(B62,Config!$B$7:$C$106,2,0),"")</f>
        <v>Class Teacher</v>
      </c>
      <c r="D62" s="28" t="s">
        <v>17</v>
      </c>
      <c r="E62" s="29" t="s">
        <v>135</v>
      </c>
      <c r="F62" s="30">
        <v>46159</v>
      </c>
      <c r="G62" s="30">
        <v>46159</v>
      </c>
      <c r="H62" s="5" t="str">
        <f t="shared" si="1"/>
        <v>May 2026</v>
      </c>
      <c r="I62" s="31">
        <v>1</v>
      </c>
      <c r="J62" s="30">
        <v>46159</v>
      </c>
      <c r="K62" s="32" t="s">
        <v>104</v>
      </c>
    </row>
    <row r="63" ht="17" customHeight="1" spans="1:11">
      <c r="A63" s="5">
        <f t="shared" si="0"/>
        <v>60</v>
      </c>
      <c r="B63" s="26" t="s">
        <v>64</v>
      </c>
      <c r="C63" s="27" t="str">
        <f>IFERROR(VLOOKUP(B63,Config!$B$7:$C$106,2,0),"")</f>
        <v>Assistant Teacher</v>
      </c>
      <c r="D63" s="28" t="s">
        <v>17</v>
      </c>
      <c r="E63" s="29" t="s">
        <v>108</v>
      </c>
      <c r="F63" s="30">
        <v>46137</v>
      </c>
      <c r="G63" s="30">
        <v>46138</v>
      </c>
      <c r="H63" s="5" t="str">
        <f t="shared" si="1"/>
        <v>April 2026</v>
      </c>
      <c r="I63" s="31">
        <v>2</v>
      </c>
      <c r="J63" s="30">
        <v>46138</v>
      </c>
      <c r="K63" s="32" t="s">
        <v>104</v>
      </c>
    </row>
    <row r="64" ht="17" customHeight="1" spans="1:11">
      <c r="A64" s="5">
        <f t="shared" si="0"/>
        <v>61</v>
      </c>
      <c r="B64" s="26" t="s">
        <v>67</v>
      </c>
      <c r="C64" s="27" t="str">
        <f>IFERROR(VLOOKUP(B64,Config!$B$7:$C$106,2,0),"")</f>
        <v>Class Teacher</v>
      </c>
      <c r="D64" s="28" t="s">
        <v>17</v>
      </c>
      <c r="E64" s="29" t="s">
        <v>136</v>
      </c>
      <c r="F64" s="30">
        <v>46154</v>
      </c>
      <c r="G64" s="30">
        <v>46154</v>
      </c>
      <c r="H64" s="5" t="str">
        <f t="shared" si="1"/>
        <v>May 2026</v>
      </c>
      <c r="I64" s="31">
        <v>1</v>
      </c>
      <c r="J64" s="30">
        <v>46154</v>
      </c>
      <c r="K64" s="32" t="s">
        <v>104</v>
      </c>
    </row>
    <row r="65" ht="17" customHeight="1" spans="1:11">
      <c r="A65" s="5">
        <f t="shared" si="0"/>
        <v>62</v>
      </c>
      <c r="B65" s="26" t="s">
        <v>68</v>
      </c>
      <c r="C65" s="27" t="str">
        <f>IFERROR(VLOOKUP(B65,Config!$B$7:$C$106,2,0),"")</f>
        <v>Class Teacher</v>
      </c>
      <c r="D65" s="28" t="s">
        <v>17</v>
      </c>
      <c r="E65" s="29" t="s">
        <v>108</v>
      </c>
      <c r="F65" s="30">
        <v>46137</v>
      </c>
      <c r="G65" s="30">
        <v>46137</v>
      </c>
      <c r="H65" s="5" t="str">
        <f t="shared" si="1"/>
        <v>April 2026</v>
      </c>
      <c r="I65" s="31">
        <v>1</v>
      </c>
      <c r="J65" s="30">
        <v>46138</v>
      </c>
      <c r="K65" s="32" t="s">
        <v>104</v>
      </c>
    </row>
    <row r="66" ht="17" customHeight="1" spans="1:11">
      <c r="A66" s="5">
        <f t="shared" si="0"/>
        <v>63</v>
      </c>
      <c r="B66" s="26" t="s">
        <v>70</v>
      </c>
      <c r="C66" s="27" t="str">
        <f>IFERROR(VLOOKUP(B66,Config!$B$7:$C$106,2,0),"")</f>
        <v>Lead Teacher</v>
      </c>
      <c r="D66" s="28" t="s">
        <v>17</v>
      </c>
      <c r="E66" s="29" t="s">
        <v>137</v>
      </c>
      <c r="F66" s="30">
        <v>46156</v>
      </c>
      <c r="G66" s="30">
        <v>46156</v>
      </c>
      <c r="H66" s="5" t="str">
        <f t="shared" si="1"/>
        <v>May 2026</v>
      </c>
      <c r="I66" s="31">
        <v>1</v>
      </c>
      <c r="J66" s="30">
        <v>46156</v>
      </c>
      <c r="K66" s="32" t="s">
        <v>104</v>
      </c>
    </row>
    <row r="67" ht="17" customHeight="1" spans="1:11">
      <c r="A67" s="5">
        <f t="shared" si="0"/>
        <v>64</v>
      </c>
      <c r="B67" s="26" t="s">
        <v>71</v>
      </c>
      <c r="C67" s="27" t="str">
        <f>IFERROR(VLOOKUP(B67,Config!$B$7:$C$106,2,0),"")</f>
        <v>Subject Teacher</v>
      </c>
      <c r="D67" s="28" t="s">
        <v>17</v>
      </c>
      <c r="E67" s="29" t="s">
        <v>138</v>
      </c>
      <c r="F67" s="30">
        <v>46151</v>
      </c>
      <c r="G67" s="30">
        <v>46151</v>
      </c>
      <c r="H67" s="5" t="str">
        <f t="shared" si="1"/>
        <v>May 2026</v>
      </c>
      <c r="I67" s="31">
        <v>1</v>
      </c>
      <c r="J67" s="30">
        <v>46163</v>
      </c>
      <c r="K67" s="33" t="s">
        <v>106</v>
      </c>
    </row>
    <row r="68" ht="17" customHeight="1" spans="1:11">
      <c r="A68" s="5">
        <f t="shared" ref="A68:A131" si="2">IF(B68="","",ROW()-3)</f>
        <v>65</v>
      </c>
      <c r="B68" s="26" t="s">
        <v>71</v>
      </c>
      <c r="C68" s="27" t="str">
        <f>IFERROR(VLOOKUP(B68,Config!$B$7:$C$106,2,0),"")</f>
        <v>Subject Teacher</v>
      </c>
      <c r="D68" s="28" t="s">
        <v>21</v>
      </c>
      <c r="E68" s="29" t="s">
        <v>139</v>
      </c>
      <c r="F68" s="30">
        <v>46159</v>
      </c>
      <c r="G68" s="30">
        <v>46159</v>
      </c>
      <c r="H68" s="5" t="str">
        <f t="shared" ref="H68:H131" si="3">IF(F68="","",TEXT(F68,"MMMM YYYY"))</f>
        <v>May 2026</v>
      </c>
      <c r="I68" s="31">
        <v>1</v>
      </c>
      <c r="J68" s="30">
        <v>46159</v>
      </c>
      <c r="K68" s="32" t="s">
        <v>104</v>
      </c>
    </row>
    <row r="69" ht="17" customHeight="1" spans="1:11">
      <c r="A69" s="5">
        <f t="shared" si="2"/>
        <v>66</v>
      </c>
      <c r="B69" s="26" t="s">
        <v>76</v>
      </c>
      <c r="C69" s="27" t="str">
        <f>IFERROR(VLOOKUP(B69,Config!$B$7:$C$106,2,0),"")</f>
        <v>Assistant Teacher</v>
      </c>
      <c r="D69" s="28" t="s">
        <v>17</v>
      </c>
      <c r="E69" s="29" t="s">
        <v>140</v>
      </c>
      <c r="F69" s="30">
        <v>46152</v>
      </c>
      <c r="G69" s="30">
        <v>46152</v>
      </c>
      <c r="H69" s="5" t="str">
        <f t="shared" si="3"/>
        <v>May 2026</v>
      </c>
      <c r="I69" s="31">
        <v>1</v>
      </c>
      <c r="J69" s="30">
        <v>46152</v>
      </c>
      <c r="K69" s="32" t="s">
        <v>104</v>
      </c>
    </row>
    <row r="70" ht="17" customHeight="1" spans="1:11">
      <c r="A70" s="5">
        <f t="shared" si="2"/>
        <v>67</v>
      </c>
      <c r="B70" s="26" t="s">
        <v>76</v>
      </c>
      <c r="C70" s="27" t="str">
        <f>IFERROR(VLOOKUP(B70,Config!$B$7:$C$106,2,0),"")</f>
        <v>Assistant Teacher</v>
      </c>
      <c r="D70" s="28" t="s">
        <v>17</v>
      </c>
      <c r="E70" s="29" t="s">
        <v>140</v>
      </c>
      <c r="F70" s="30">
        <v>46148</v>
      </c>
      <c r="G70" s="30">
        <v>46148</v>
      </c>
      <c r="H70" s="5" t="str">
        <f t="shared" si="3"/>
        <v>May 2026</v>
      </c>
      <c r="I70" s="31">
        <v>1</v>
      </c>
      <c r="J70" s="30">
        <v>46147</v>
      </c>
      <c r="K70" s="32" t="s">
        <v>104</v>
      </c>
    </row>
    <row r="71" ht="17" customHeight="1" spans="1:11">
      <c r="A71" s="5">
        <f t="shared" si="2"/>
        <v>68</v>
      </c>
      <c r="B71" s="26" t="s">
        <v>76</v>
      </c>
      <c r="C71" s="27" t="str">
        <f>IFERROR(VLOOKUP(B71,Config!$B$7:$C$106,2,0),"")</f>
        <v>Assistant Teacher</v>
      </c>
      <c r="D71" s="28" t="s">
        <v>17</v>
      </c>
      <c r="E71" s="29" t="s">
        <v>140</v>
      </c>
      <c r="F71" s="30">
        <v>46147</v>
      </c>
      <c r="G71" s="30">
        <v>46147</v>
      </c>
      <c r="H71" s="5" t="str">
        <f t="shared" si="3"/>
        <v>May 2026</v>
      </c>
      <c r="I71" s="31">
        <v>1</v>
      </c>
      <c r="J71" s="30">
        <v>46147</v>
      </c>
      <c r="K71" s="32" t="s">
        <v>104</v>
      </c>
    </row>
    <row r="72" ht="17" customHeight="1" spans="1:11">
      <c r="A72" s="5">
        <f t="shared" si="2"/>
        <v>69</v>
      </c>
      <c r="B72" s="26" t="s">
        <v>76</v>
      </c>
      <c r="C72" s="27" t="str">
        <f>IFERROR(VLOOKUP(B72,Config!$B$7:$C$106,2,0),"")</f>
        <v>Assistant Teacher</v>
      </c>
      <c r="D72" s="28" t="s">
        <v>17</v>
      </c>
      <c r="E72" s="29" t="s">
        <v>141</v>
      </c>
      <c r="F72" s="30">
        <v>46154</v>
      </c>
      <c r="G72" s="30">
        <v>46154</v>
      </c>
      <c r="H72" s="5" t="str">
        <f t="shared" si="3"/>
        <v>May 2026</v>
      </c>
      <c r="I72" s="31">
        <v>1</v>
      </c>
      <c r="J72" s="30">
        <v>46154</v>
      </c>
      <c r="K72" s="32" t="s">
        <v>104</v>
      </c>
    </row>
    <row r="73" ht="17" customHeight="1" spans="1:11">
      <c r="A73" s="5">
        <f t="shared" si="2"/>
        <v>70</v>
      </c>
      <c r="B73" s="26" t="s">
        <v>77</v>
      </c>
      <c r="C73" s="27" t="str">
        <f>IFERROR(VLOOKUP(B73,Config!$B$7:$C$106,2,0),"")</f>
        <v>Assistant Teacher</v>
      </c>
      <c r="D73" s="28" t="s">
        <v>21</v>
      </c>
      <c r="E73" s="29" t="s">
        <v>142</v>
      </c>
      <c r="F73" s="30">
        <v>46155</v>
      </c>
      <c r="G73" s="30">
        <v>46155</v>
      </c>
      <c r="H73" s="5" t="str">
        <f t="shared" si="3"/>
        <v>May 2026</v>
      </c>
      <c r="I73" s="31">
        <v>1</v>
      </c>
      <c r="J73" s="30">
        <v>46155</v>
      </c>
      <c r="K73" s="32" t="s">
        <v>104</v>
      </c>
    </row>
    <row r="74" ht="17" customHeight="1" spans="1:11">
      <c r="A74" s="5">
        <f t="shared" si="2"/>
        <v>71</v>
      </c>
      <c r="B74" s="26" t="s">
        <v>78</v>
      </c>
      <c r="C74" s="27" t="str">
        <f>IFERROR(VLOOKUP(B74,Config!$B$7:$C$106,2,0),"")</f>
        <v>Subject Teacher</v>
      </c>
      <c r="D74" s="28" t="s">
        <v>21</v>
      </c>
      <c r="E74" s="29" t="s">
        <v>143</v>
      </c>
      <c r="F74" s="30">
        <v>46125</v>
      </c>
      <c r="G74" s="30">
        <v>46125</v>
      </c>
      <c r="H74" s="5" t="str">
        <f t="shared" si="3"/>
        <v>April 2026</v>
      </c>
      <c r="I74" s="31">
        <v>1</v>
      </c>
      <c r="J74" s="30">
        <v>46155</v>
      </c>
      <c r="K74" s="32" t="s">
        <v>104</v>
      </c>
    </row>
    <row r="75" ht="17" customHeight="1" spans="1:11">
      <c r="A75" s="5">
        <f t="shared" si="2"/>
        <v>72</v>
      </c>
      <c r="B75" s="26" t="s">
        <v>78</v>
      </c>
      <c r="C75" s="27" t="str">
        <f>IFERROR(VLOOKUP(B75,Config!$B$7:$C$106,2,0),"")</f>
        <v>Subject Teacher</v>
      </c>
      <c r="D75" s="28" t="s">
        <v>17</v>
      </c>
      <c r="E75" s="29" t="s">
        <v>140</v>
      </c>
      <c r="F75" s="30">
        <v>46138</v>
      </c>
      <c r="G75" s="30">
        <v>46139</v>
      </c>
      <c r="H75" s="5" t="str">
        <f t="shared" si="3"/>
        <v>April 2026</v>
      </c>
      <c r="I75" s="31">
        <v>2</v>
      </c>
      <c r="J75" s="30">
        <v>46140</v>
      </c>
      <c r="K75" s="32" t="s">
        <v>104</v>
      </c>
    </row>
    <row r="76" ht="17" customHeight="1" spans="1:11">
      <c r="A76" s="5">
        <f t="shared" si="2"/>
        <v>73</v>
      </c>
      <c r="B76" s="26" t="s">
        <v>78</v>
      </c>
      <c r="C76" s="27" t="str">
        <f>IFERROR(VLOOKUP(B76,Config!$B$7:$C$106,2,0),"")</f>
        <v>Subject Teacher</v>
      </c>
      <c r="D76" s="28" t="s">
        <v>17</v>
      </c>
      <c r="E76" s="29" t="s">
        <v>108</v>
      </c>
      <c r="F76" s="30">
        <v>46127</v>
      </c>
      <c r="G76" s="30">
        <v>46127</v>
      </c>
      <c r="H76" s="5" t="str">
        <f t="shared" si="3"/>
        <v>April 2026</v>
      </c>
      <c r="I76" s="31">
        <v>1</v>
      </c>
      <c r="J76" s="30">
        <v>46138</v>
      </c>
      <c r="K76" s="32" t="s">
        <v>104</v>
      </c>
    </row>
    <row r="77" ht="17" customHeight="1" spans="1:11">
      <c r="A77" s="5">
        <f t="shared" si="2"/>
        <v>74</v>
      </c>
      <c r="B77" s="26" t="s">
        <v>80</v>
      </c>
      <c r="C77" s="27" t="str">
        <f>IFERROR(VLOOKUP(B77,Config!$B$7:$C$106,2,0),"")</f>
        <v/>
      </c>
      <c r="D77" s="28" t="s">
        <v>17</v>
      </c>
      <c r="E77" s="29" t="s">
        <v>141</v>
      </c>
      <c r="F77" s="30">
        <v>46154</v>
      </c>
      <c r="G77" s="30">
        <v>46154</v>
      </c>
      <c r="H77" s="5" t="str">
        <f t="shared" si="3"/>
        <v>May 2026</v>
      </c>
      <c r="I77" s="31">
        <v>1</v>
      </c>
      <c r="J77" s="30">
        <v>46154</v>
      </c>
      <c r="K77" s="32" t="s">
        <v>104</v>
      </c>
    </row>
    <row r="78" spans="1:11">
      <c r="A78" s="5" t="str">
        <f t="shared" si="2"/>
        <v/>
      </c>
      <c r="B78" s="35"/>
      <c r="C78" s="27" t="str">
        <f>IFERROR(VLOOKUP(B78,Config!$B$7:$C$106,2,0),"")</f>
        <v/>
      </c>
      <c r="D78" s="35"/>
      <c r="E78" s="35"/>
      <c r="F78" s="36"/>
      <c r="G78" s="36"/>
      <c r="H78" s="5" t="str">
        <f t="shared" si="3"/>
        <v/>
      </c>
      <c r="I78" s="35"/>
      <c r="J78" s="36"/>
      <c r="K78" s="35"/>
    </row>
    <row r="79" spans="1:11">
      <c r="A79" s="5" t="str">
        <f t="shared" si="2"/>
        <v/>
      </c>
      <c r="B79" s="37"/>
      <c r="C79" s="27" t="str">
        <f>IFERROR(VLOOKUP(B79,Config!$B$7:$C$106,2,0),"")</f>
        <v/>
      </c>
      <c r="D79" s="37"/>
      <c r="E79" s="37"/>
      <c r="F79" s="38"/>
      <c r="G79" s="38"/>
      <c r="H79" s="5" t="str">
        <f t="shared" si="3"/>
        <v/>
      </c>
      <c r="I79" s="37"/>
      <c r="J79" s="38"/>
      <c r="K79" s="37"/>
    </row>
    <row r="80" spans="1:11">
      <c r="A80" s="5" t="str">
        <f t="shared" si="2"/>
        <v/>
      </c>
      <c r="B80" s="35"/>
      <c r="C80" s="27" t="str">
        <f>IFERROR(VLOOKUP(B80,Config!$B$7:$C$106,2,0),"")</f>
        <v/>
      </c>
      <c r="D80" s="35"/>
      <c r="E80" s="35"/>
      <c r="F80" s="36"/>
      <c r="G80" s="36"/>
      <c r="H80" s="5" t="str">
        <f t="shared" si="3"/>
        <v/>
      </c>
      <c r="I80" s="35"/>
      <c r="J80" s="36"/>
      <c r="K80" s="35"/>
    </row>
    <row r="81" spans="1:11">
      <c r="A81" s="5" t="str">
        <f t="shared" si="2"/>
        <v/>
      </c>
      <c r="B81" s="37"/>
      <c r="C81" s="27" t="str">
        <f>IFERROR(VLOOKUP(B81,Config!$B$7:$C$106,2,0),"")</f>
        <v/>
      </c>
      <c r="D81" s="37"/>
      <c r="E81" s="37"/>
      <c r="F81" s="38"/>
      <c r="G81" s="38"/>
      <c r="H81" s="5" t="str">
        <f t="shared" si="3"/>
        <v/>
      </c>
      <c r="I81" s="37"/>
      <c r="J81" s="38"/>
      <c r="K81" s="37"/>
    </row>
    <row r="82" spans="1:11">
      <c r="A82" s="5" t="str">
        <f t="shared" si="2"/>
        <v/>
      </c>
      <c r="B82" s="35"/>
      <c r="C82" s="27" t="str">
        <f>IFERROR(VLOOKUP(B82,Config!$B$7:$C$106,2,0),"")</f>
        <v/>
      </c>
      <c r="D82" s="35"/>
      <c r="E82" s="35"/>
      <c r="F82" s="36"/>
      <c r="G82" s="36"/>
      <c r="H82" s="5" t="str">
        <f t="shared" si="3"/>
        <v/>
      </c>
      <c r="I82" s="35"/>
      <c r="J82" s="36"/>
      <c r="K82" s="35"/>
    </row>
    <row r="83" spans="1:11">
      <c r="A83" s="5" t="str">
        <f t="shared" si="2"/>
        <v/>
      </c>
      <c r="B83" s="37"/>
      <c r="C83" s="27" t="str">
        <f>IFERROR(VLOOKUP(B83,Config!$B$7:$C$106,2,0),"")</f>
        <v/>
      </c>
      <c r="D83" s="37"/>
      <c r="E83" s="37"/>
      <c r="F83" s="38"/>
      <c r="G83" s="38"/>
      <c r="H83" s="5" t="str">
        <f t="shared" si="3"/>
        <v/>
      </c>
      <c r="I83" s="37"/>
      <c r="J83" s="38"/>
      <c r="K83" s="37"/>
    </row>
    <row r="84" spans="1:11">
      <c r="A84" s="5" t="str">
        <f t="shared" si="2"/>
        <v/>
      </c>
      <c r="B84" s="35"/>
      <c r="C84" s="27" t="str">
        <f>IFERROR(VLOOKUP(B84,Config!$B$7:$C$106,2,0),"")</f>
        <v/>
      </c>
      <c r="D84" s="35"/>
      <c r="E84" s="35"/>
      <c r="F84" s="36"/>
      <c r="G84" s="36"/>
      <c r="H84" s="5" t="str">
        <f t="shared" si="3"/>
        <v/>
      </c>
      <c r="I84" s="35"/>
      <c r="J84" s="36"/>
      <c r="K84" s="35"/>
    </row>
    <row r="85" spans="1:11">
      <c r="A85" s="5" t="str">
        <f t="shared" si="2"/>
        <v/>
      </c>
      <c r="B85" s="37"/>
      <c r="C85" s="27" t="str">
        <f>IFERROR(VLOOKUP(B85,Config!$B$7:$C$106,2,0),"")</f>
        <v/>
      </c>
      <c r="D85" s="37"/>
      <c r="E85" s="37"/>
      <c r="F85" s="38"/>
      <c r="G85" s="38"/>
      <c r="H85" s="5" t="str">
        <f t="shared" si="3"/>
        <v/>
      </c>
      <c r="I85" s="37"/>
      <c r="J85" s="38"/>
      <c r="K85" s="37"/>
    </row>
    <row r="86" spans="1:11">
      <c r="A86" s="5" t="str">
        <f t="shared" si="2"/>
        <v/>
      </c>
      <c r="B86" s="35"/>
      <c r="C86" s="27" t="str">
        <f>IFERROR(VLOOKUP(B86,Config!$B$7:$C$106,2,0),"")</f>
        <v/>
      </c>
      <c r="D86" s="35"/>
      <c r="E86" s="35"/>
      <c r="F86" s="36"/>
      <c r="G86" s="36"/>
      <c r="H86" s="5" t="str">
        <f t="shared" si="3"/>
        <v/>
      </c>
      <c r="I86" s="35"/>
      <c r="J86" s="36"/>
      <c r="K86" s="35"/>
    </row>
    <row r="87" spans="1:11">
      <c r="A87" s="5" t="str">
        <f t="shared" si="2"/>
        <v/>
      </c>
      <c r="B87" s="37"/>
      <c r="C87" s="27" t="str">
        <f>IFERROR(VLOOKUP(B87,Config!$B$7:$C$106,2,0),"")</f>
        <v/>
      </c>
      <c r="D87" s="37"/>
      <c r="E87" s="37"/>
      <c r="F87" s="38"/>
      <c r="G87" s="38"/>
      <c r="H87" s="5" t="str">
        <f t="shared" si="3"/>
        <v/>
      </c>
      <c r="I87" s="37"/>
      <c r="J87" s="38"/>
      <c r="K87" s="37"/>
    </row>
    <row r="88" spans="1:11">
      <c r="A88" s="5" t="str">
        <f t="shared" si="2"/>
        <v/>
      </c>
      <c r="B88" s="35"/>
      <c r="C88" s="27" t="str">
        <f>IFERROR(VLOOKUP(B88,Config!$B$7:$C$106,2,0),"")</f>
        <v/>
      </c>
      <c r="D88" s="35"/>
      <c r="E88" s="35"/>
      <c r="F88" s="36"/>
      <c r="G88" s="36"/>
      <c r="H88" s="5" t="str">
        <f t="shared" si="3"/>
        <v/>
      </c>
      <c r="I88" s="35"/>
      <c r="J88" s="36"/>
      <c r="K88" s="35"/>
    </row>
    <row r="89" spans="1:11">
      <c r="A89" s="5" t="str">
        <f t="shared" si="2"/>
        <v/>
      </c>
      <c r="B89" s="37"/>
      <c r="C89" s="27" t="str">
        <f>IFERROR(VLOOKUP(B89,Config!$B$7:$C$106,2,0),"")</f>
        <v/>
      </c>
      <c r="D89" s="37"/>
      <c r="E89" s="37"/>
      <c r="F89" s="38"/>
      <c r="G89" s="38"/>
      <c r="H89" s="5" t="str">
        <f t="shared" si="3"/>
        <v/>
      </c>
      <c r="I89" s="37"/>
      <c r="J89" s="38"/>
      <c r="K89" s="37"/>
    </row>
    <row r="90" spans="1:11">
      <c r="A90" s="5" t="str">
        <f t="shared" si="2"/>
        <v/>
      </c>
      <c r="B90" s="35"/>
      <c r="C90" s="27" t="str">
        <f>IFERROR(VLOOKUP(B90,Config!$B$7:$C$106,2,0),"")</f>
        <v/>
      </c>
      <c r="D90" s="35"/>
      <c r="E90" s="35"/>
      <c r="F90" s="36"/>
      <c r="G90" s="36"/>
      <c r="H90" s="5" t="str">
        <f t="shared" si="3"/>
        <v/>
      </c>
      <c r="I90" s="35"/>
      <c r="J90" s="36"/>
      <c r="K90" s="35"/>
    </row>
    <row r="91" spans="1:11">
      <c r="A91" s="5" t="str">
        <f t="shared" si="2"/>
        <v/>
      </c>
      <c r="B91" s="37"/>
      <c r="C91" s="27" t="str">
        <f>IFERROR(VLOOKUP(B91,Config!$B$7:$C$106,2,0),"")</f>
        <v/>
      </c>
      <c r="D91" s="37"/>
      <c r="E91" s="37"/>
      <c r="F91" s="38"/>
      <c r="G91" s="38"/>
      <c r="H91" s="5" t="str">
        <f t="shared" si="3"/>
        <v/>
      </c>
      <c r="I91" s="37"/>
      <c r="J91" s="38"/>
      <c r="K91" s="37"/>
    </row>
    <row r="92" spans="1:11">
      <c r="A92" s="5" t="str">
        <f t="shared" si="2"/>
        <v/>
      </c>
      <c r="B92" s="35"/>
      <c r="C92" s="27" t="str">
        <f>IFERROR(VLOOKUP(B92,Config!$B$7:$C$106,2,0),"")</f>
        <v/>
      </c>
      <c r="D92" s="35"/>
      <c r="E92" s="35"/>
      <c r="F92" s="36"/>
      <c r="G92" s="36"/>
      <c r="H92" s="5" t="str">
        <f t="shared" si="3"/>
        <v/>
      </c>
      <c r="I92" s="35"/>
      <c r="J92" s="36"/>
      <c r="K92" s="35"/>
    </row>
    <row r="93" spans="1:11">
      <c r="A93" s="5" t="str">
        <f t="shared" si="2"/>
        <v/>
      </c>
      <c r="B93" s="37"/>
      <c r="C93" s="27" t="str">
        <f>IFERROR(VLOOKUP(B93,Config!$B$7:$C$106,2,0),"")</f>
        <v/>
      </c>
      <c r="D93" s="37"/>
      <c r="E93" s="37"/>
      <c r="F93" s="38"/>
      <c r="G93" s="38"/>
      <c r="H93" s="5" t="str">
        <f t="shared" si="3"/>
        <v/>
      </c>
      <c r="I93" s="37"/>
      <c r="J93" s="38"/>
      <c r="K93" s="37"/>
    </row>
    <row r="94" spans="1:11">
      <c r="A94" s="5" t="str">
        <f t="shared" si="2"/>
        <v/>
      </c>
      <c r="B94" s="35"/>
      <c r="C94" s="27" t="str">
        <f>IFERROR(VLOOKUP(B94,Config!$B$7:$C$106,2,0),"")</f>
        <v/>
      </c>
      <c r="D94" s="35"/>
      <c r="E94" s="35"/>
      <c r="F94" s="36"/>
      <c r="G94" s="36"/>
      <c r="H94" s="5" t="str">
        <f t="shared" si="3"/>
        <v/>
      </c>
      <c r="I94" s="35"/>
      <c r="J94" s="36"/>
      <c r="K94" s="35"/>
    </row>
    <row r="95" spans="1:11">
      <c r="A95" s="5" t="str">
        <f t="shared" si="2"/>
        <v/>
      </c>
      <c r="B95" s="37"/>
      <c r="C95" s="27" t="str">
        <f>IFERROR(VLOOKUP(B95,Config!$B$7:$C$106,2,0),"")</f>
        <v/>
      </c>
      <c r="D95" s="37"/>
      <c r="E95" s="37"/>
      <c r="F95" s="38"/>
      <c r="G95" s="38"/>
      <c r="H95" s="5" t="str">
        <f t="shared" si="3"/>
        <v/>
      </c>
      <c r="I95" s="37"/>
      <c r="J95" s="38"/>
      <c r="K95" s="37"/>
    </row>
    <row r="96" spans="1:11">
      <c r="A96" s="5" t="str">
        <f t="shared" si="2"/>
        <v/>
      </c>
      <c r="B96" s="35"/>
      <c r="C96" s="27" t="str">
        <f>IFERROR(VLOOKUP(B96,Config!$B$7:$C$106,2,0),"")</f>
        <v/>
      </c>
      <c r="D96" s="35"/>
      <c r="E96" s="35"/>
      <c r="F96" s="36"/>
      <c r="G96" s="36"/>
      <c r="H96" s="5" t="str">
        <f t="shared" si="3"/>
        <v/>
      </c>
      <c r="I96" s="35"/>
      <c r="J96" s="36"/>
      <c r="K96" s="35"/>
    </row>
    <row r="97" spans="1:11">
      <c r="A97" s="5" t="str">
        <f t="shared" si="2"/>
        <v/>
      </c>
      <c r="B97" s="37"/>
      <c r="C97" s="27" t="str">
        <f>IFERROR(VLOOKUP(B97,Config!$B$7:$C$106,2,0),"")</f>
        <v/>
      </c>
      <c r="D97" s="37"/>
      <c r="E97" s="37"/>
      <c r="F97" s="38"/>
      <c r="G97" s="38"/>
      <c r="H97" s="5" t="str">
        <f t="shared" si="3"/>
        <v/>
      </c>
      <c r="I97" s="37"/>
      <c r="J97" s="38"/>
      <c r="K97" s="37"/>
    </row>
    <row r="98" spans="1:11">
      <c r="A98" s="5" t="str">
        <f t="shared" si="2"/>
        <v/>
      </c>
      <c r="B98" s="35"/>
      <c r="C98" s="27" t="str">
        <f>IFERROR(VLOOKUP(B98,Config!$B$7:$C$106,2,0),"")</f>
        <v/>
      </c>
      <c r="D98" s="35"/>
      <c r="E98" s="35"/>
      <c r="F98" s="36"/>
      <c r="G98" s="36"/>
      <c r="H98" s="5" t="str">
        <f t="shared" si="3"/>
        <v/>
      </c>
      <c r="I98" s="35"/>
      <c r="J98" s="36"/>
      <c r="K98" s="35"/>
    </row>
    <row r="99" spans="1:11">
      <c r="A99" s="5" t="str">
        <f t="shared" si="2"/>
        <v/>
      </c>
      <c r="B99" s="37"/>
      <c r="C99" s="27" t="str">
        <f>IFERROR(VLOOKUP(B99,Config!$B$7:$C$106,2,0),"")</f>
        <v/>
      </c>
      <c r="D99" s="37"/>
      <c r="E99" s="37"/>
      <c r="F99" s="38"/>
      <c r="G99" s="38"/>
      <c r="H99" s="5" t="str">
        <f t="shared" si="3"/>
        <v/>
      </c>
      <c r="I99" s="37"/>
      <c r="J99" s="38"/>
      <c r="K99" s="37"/>
    </row>
    <row r="100" spans="1:11">
      <c r="A100" s="5" t="str">
        <f t="shared" si="2"/>
        <v/>
      </c>
      <c r="B100" s="35"/>
      <c r="C100" s="27" t="str">
        <f>IFERROR(VLOOKUP(B100,Config!$B$7:$C$106,2,0),"")</f>
        <v/>
      </c>
      <c r="D100" s="35"/>
      <c r="E100" s="35"/>
      <c r="F100" s="36"/>
      <c r="G100" s="36"/>
      <c r="H100" s="5" t="str">
        <f t="shared" si="3"/>
        <v/>
      </c>
      <c r="I100" s="35"/>
      <c r="J100" s="36"/>
      <c r="K100" s="35"/>
    </row>
    <row r="101" spans="1:11">
      <c r="A101" s="5" t="str">
        <f t="shared" si="2"/>
        <v/>
      </c>
      <c r="B101" s="37"/>
      <c r="C101" s="27" t="str">
        <f>IFERROR(VLOOKUP(B101,Config!$B$7:$C$106,2,0),"")</f>
        <v/>
      </c>
      <c r="D101" s="37"/>
      <c r="E101" s="37"/>
      <c r="F101" s="38"/>
      <c r="G101" s="38"/>
      <c r="H101" s="5" t="str">
        <f t="shared" si="3"/>
        <v/>
      </c>
      <c r="I101" s="37"/>
      <c r="J101" s="38"/>
      <c r="K101" s="37"/>
    </row>
    <row r="102" spans="1:11">
      <c r="A102" s="5" t="str">
        <f t="shared" si="2"/>
        <v/>
      </c>
      <c r="B102" s="35"/>
      <c r="C102" s="27" t="str">
        <f>IFERROR(VLOOKUP(B102,Config!$B$7:$C$106,2,0),"")</f>
        <v/>
      </c>
      <c r="D102" s="35"/>
      <c r="E102" s="35"/>
      <c r="F102" s="36"/>
      <c r="G102" s="36"/>
      <c r="H102" s="5" t="str">
        <f t="shared" si="3"/>
        <v/>
      </c>
      <c r="I102" s="35"/>
      <c r="J102" s="36"/>
      <c r="K102" s="35"/>
    </row>
    <row r="103" spans="1:11">
      <c r="A103" s="5" t="str">
        <f t="shared" si="2"/>
        <v/>
      </c>
      <c r="B103" s="37"/>
      <c r="C103" s="27" t="str">
        <f>IFERROR(VLOOKUP(B103,Config!$B$7:$C$106,2,0),"")</f>
        <v/>
      </c>
      <c r="D103" s="37"/>
      <c r="E103" s="37"/>
      <c r="F103" s="38"/>
      <c r="G103" s="38"/>
      <c r="H103" s="5" t="str">
        <f t="shared" si="3"/>
        <v/>
      </c>
      <c r="I103" s="37"/>
      <c r="J103" s="38"/>
      <c r="K103" s="37"/>
    </row>
    <row r="104" spans="1:11">
      <c r="A104" s="5" t="str">
        <f t="shared" si="2"/>
        <v/>
      </c>
      <c r="B104" s="35"/>
      <c r="C104" s="27" t="str">
        <f>IFERROR(VLOOKUP(B104,Config!$B$7:$C$106,2,0),"")</f>
        <v/>
      </c>
      <c r="D104" s="35"/>
      <c r="E104" s="35"/>
      <c r="F104" s="36"/>
      <c r="G104" s="36"/>
      <c r="H104" s="5" t="str">
        <f t="shared" si="3"/>
        <v/>
      </c>
      <c r="I104" s="35"/>
      <c r="J104" s="36"/>
      <c r="K104" s="35"/>
    </row>
    <row r="105" spans="1:11">
      <c r="A105" s="5" t="str">
        <f t="shared" si="2"/>
        <v/>
      </c>
      <c r="B105" s="37"/>
      <c r="C105" s="27" t="str">
        <f>IFERROR(VLOOKUP(B105,Config!$B$7:$C$106,2,0),"")</f>
        <v/>
      </c>
      <c r="D105" s="37"/>
      <c r="E105" s="37"/>
      <c r="F105" s="38"/>
      <c r="G105" s="38"/>
      <c r="H105" s="5" t="str">
        <f t="shared" si="3"/>
        <v/>
      </c>
      <c r="I105" s="37"/>
      <c r="J105" s="38"/>
      <c r="K105" s="37"/>
    </row>
    <row r="106" spans="1:11">
      <c r="A106" s="5" t="str">
        <f t="shared" si="2"/>
        <v/>
      </c>
      <c r="B106" s="35"/>
      <c r="C106" s="27" t="str">
        <f>IFERROR(VLOOKUP(B106,Config!$B$7:$C$106,2,0),"")</f>
        <v/>
      </c>
      <c r="D106" s="35"/>
      <c r="E106" s="35"/>
      <c r="F106" s="36"/>
      <c r="G106" s="36"/>
      <c r="H106" s="5" t="str">
        <f t="shared" si="3"/>
        <v/>
      </c>
      <c r="I106" s="35"/>
      <c r="J106" s="36"/>
      <c r="K106" s="35"/>
    </row>
    <row r="107" spans="1:11">
      <c r="A107" s="5" t="str">
        <f t="shared" si="2"/>
        <v/>
      </c>
      <c r="B107" s="37"/>
      <c r="C107" s="27" t="str">
        <f>IFERROR(VLOOKUP(B107,Config!$B$7:$C$106,2,0),"")</f>
        <v/>
      </c>
      <c r="D107" s="37"/>
      <c r="E107" s="37"/>
      <c r="F107" s="38"/>
      <c r="G107" s="38"/>
      <c r="H107" s="5" t="str">
        <f t="shared" si="3"/>
        <v/>
      </c>
      <c r="I107" s="37"/>
      <c r="J107" s="38"/>
      <c r="K107" s="37"/>
    </row>
    <row r="108" spans="1:11">
      <c r="A108" s="5" t="str">
        <f t="shared" si="2"/>
        <v/>
      </c>
      <c r="B108" s="35"/>
      <c r="C108" s="27" t="str">
        <f>IFERROR(VLOOKUP(B108,Config!$B$7:$C$106,2,0),"")</f>
        <v/>
      </c>
      <c r="D108" s="35"/>
      <c r="E108" s="35"/>
      <c r="F108" s="36"/>
      <c r="G108" s="36"/>
      <c r="H108" s="5" t="str">
        <f t="shared" si="3"/>
        <v/>
      </c>
      <c r="I108" s="35"/>
      <c r="J108" s="36"/>
      <c r="K108" s="35"/>
    </row>
    <row r="109" spans="1:11">
      <c r="A109" s="5" t="str">
        <f t="shared" si="2"/>
        <v/>
      </c>
      <c r="B109" s="37"/>
      <c r="C109" s="27" t="str">
        <f>IFERROR(VLOOKUP(B109,Config!$B$7:$C$106,2,0),"")</f>
        <v/>
      </c>
      <c r="D109" s="37"/>
      <c r="E109" s="37"/>
      <c r="F109" s="38"/>
      <c r="G109" s="38"/>
      <c r="H109" s="5" t="str">
        <f t="shared" si="3"/>
        <v/>
      </c>
      <c r="I109" s="37"/>
      <c r="J109" s="38"/>
      <c r="K109" s="37"/>
    </row>
    <row r="110" spans="1:11">
      <c r="A110" s="5" t="str">
        <f t="shared" si="2"/>
        <v/>
      </c>
      <c r="B110" s="35"/>
      <c r="C110" s="27" t="str">
        <f>IFERROR(VLOOKUP(B110,Config!$B$7:$C$106,2,0),"")</f>
        <v/>
      </c>
      <c r="D110" s="35"/>
      <c r="E110" s="35"/>
      <c r="F110" s="36"/>
      <c r="G110" s="36"/>
      <c r="H110" s="5" t="str">
        <f t="shared" si="3"/>
        <v/>
      </c>
      <c r="I110" s="35"/>
      <c r="J110" s="36"/>
      <c r="K110" s="35"/>
    </row>
    <row r="111" spans="1:11">
      <c r="A111" s="5" t="str">
        <f t="shared" si="2"/>
        <v/>
      </c>
      <c r="B111" s="37"/>
      <c r="C111" s="27" t="str">
        <f>IFERROR(VLOOKUP(B111,Config!$B$7:$C$106,2,0),"")</f>
        <v/>
      </c>
      <c r="D111" s="37"/>
      <c r="E111" s="37"/>
      <c r="F111" s="38"/>
      <c r="G111" s="38"/>
      <c r="H111" s="5" t="str">
        <f t="shared" si="3"/>
        <v/>
      </c>
      <c r="I111" s="37"/>
      <c r="J111" s="38"/>
      <c r="K111" s="37"/>
    </row>
    <row r="112" spans="1:11">
      <c r="A112" s="5" t="str">
        <f t="shared" si="2"/>
        <v/>
      </c>
      <c r="B112" s="35"/>
      <c r="C112" s="27" t="str">
        <f>IFERROR(VLOOKUP(B112,Config!$B$7:$C$106,2,0),"")</f>
        <v/>
      </c>
      <c r="D112" s="35"/>
      <c r="E112" s="35"/>
      <c r="F112" s="36"/>
      <c r="G112" s="36"/>
      <c r="H112" s="5" t="str">
        <f t="shared" si="3"/>
        <v/>
      </c>
      <c r="I112" s="35"/>
      <c r="J112" s="36"/>
      <c r="K112" s="35"/>
    </row>
    <row r="113" spans="1:11">
      <c r="A113" s="5" t="str">
        <f t="shared" si="2"/>
        <v/>
      </c>
      <c r="B113" s="37"/>
      <c r="C113" s="27" t="str">
        <f>IFERROR(VLOOKUP(B113,Config!$B$7:$C$106,2,0),"")</f>
        <v/>
      </c>
      <c r="D113" s="37"/>
      <c r="E113" s="37"/>
      <c r="F113" s="38"/>
      <c r="G113" s="38"/>
      <c r="H113" s="5" t="str">
        <f t="shared" si="3"/>
        <v/>
      </c>
      <c r="I113" s="37"/>
      <c r="J113" s="38"/>
      <c r="K113" s="37"/>
    </row>
    <row r="114" spans="1:11">
      <c r="A114" s="5" t="str">
        <f t="shared" si="2"/>
        <v/>
      </c>
      <c r="B114" s="35"/>
      <c r="C114" s="27" t="str">
        <f>IFERROR(VLOOKUP(B114,Config!$B$7:$C$106,2,0),"")</f>
        <v/>
      </c>
      <c r="D114" s="35"/>
      <c r="E114" s="35"/>
      <c r="F114" s="36"/>
      <c r="G114" s="36"/>
      <c r="H114" s="5" t="str">
        <f t="shared" si="3"/>
        <v/>
      </c>
      <c r="I114" s="35"/>
      <c r="J114" s="36"/>
      <c r="K114" s="35"/>
    </row>
    <row r="115" spans="1:11">
      <c r="A115" s="5" t="str">
        <f t="shared" si="2"/>
        <v/>
      </c>
      <c r="B115" s="37"/>
      <c r="C115" s="27" t="str">
        <f>IFERROR(VLOOKUP(B115,Config!$B$7:$C$106,2,0),"")</f>
        <v/>
      </c>
      <c r="D115" s="37"/>
      <c r="E115" s="37"/>
      <c r="F115" s="38"/>
      <c r="G115" s="38"/>
      <c r="H115" s="5" t="str">
        <f t="shared" si="3"/>
        <v/>
      </c>
      <c r="I115" s="37"/>
      <c r="J115" s="38"/>
      <c r="K115" s="37"/>
    </row>
    <row r="116" spans="1:11">
      <c r="A116" s="5" t="str">
        <f t="shared" si="2"/>
        <v/>
      </c>
      <c r="B116" s="35"/>
      <c r="C116" s="27" t="str">
        <f>IFERROR(VLOOKUP(B116,Config!$B$7:$C$106,2,0),"")</f>
        <v/>
      </c>
      <c r="D116" s="35"/>
      <c r="E116" s="35"/>
      <c r="F116" s="36"/>
      <c r="G116" s="36"/>
      <c r="H116" s="5" t="str">
        <f t="shared" si="3"/>
        <v/>
      </c>
      <c r="I116" s="35"/>
      <c r="J116" s="36"/>
      <c r="K116" s="35"/>
    </row>
    <row r="117" spans="1:11">
      <c r="A117" s="5" t="str">
        <f t="shared" si="2"/>
        <v/>
      </c>
      <c r="B117" s="37"/>
      <c r="C117" s="27" t="str">
        <f>IFERROR(VLOOKUP(B117,Config!$B$7:$C$106,2,0),"")</f>
        <v/>
      </c>
      <c r="D117" s="37"/>
      <c r="E117" s="37"/>
      <c r="F117" s="38"/>
      <c r="G117" s="38"/>
      <c r="H117" s="5" t="str">
        <f t="shared" si="3"/>
        <v/>
      </c>
      <c r="I117" s="37"/>
      <c r="J117" s="38"/>
      <c r="K117" s="37"/>
    </row>
    <row r="118" spans="1:11">
      <c r="A118" s="5" t="str">
        <f t="shared" si="2"/>
        <v/>
      </c>
      <c r="B118" s="35"/>
      <c r="C118" s="27" t="str">
        <f>IFERROR(VLOOKUP(B118,Config!$B$7:$C$106,2,0),"")</f>
        <v/>
      </c>
      <c r="D118" s="35"/>
      <c r="E118" s="35"/>
      <c r="F118" s="36"/>
      <c r="G118" s="36"/>
      <c r="H118" s="5" t="str">
        <f t="shared" si="3"/>
        <v/>
      </c>
      <c r="I118" s="35"/>
      <c r="J118" s="36"/>
      <c r="K118" s="35"/>
    </row>
    <row r="119" spans="1:11">
      <c r="A119" s="5" t="str">
        <f t="shared" si="2"/>
        <v/>
      </c>
      <c r="B119" s="37"/>
      <c r="C119" s="27" t="str">
        <f>IFERROR(VLOOKUP(B119,Config!$B$7:$C$106,2,0),"")</f>
        <v/>
      </c>
      <c r="D119" s="37"/>
      <c r="E119" s="37"/>
      <c r="F119" s="38"/>
      <c r="G119" s="38"/>
      <c r="H119" s="5" t="str">
        <f t="shared" si="3"/>
        <v/>
      </c>
      <c r="I119" s="37"/>
      <c r="J119" s="38"/>
      <c r="K119" s="37"/>
    </row>
    <row r="120" spans="1:11">
      <c r="A120" s="5" t="str">
        <f t="shared" si="2"/>
        <v/>
      </c>
      <c r="B120" s="35"/>
      <c r="C120" s="27" t="str">
        <f>IFERROR(VLOOKUP(B120,Config!$B$7:$C$106,2,0),"")</f>
        <v/>
      </c>
      <c r="D120" s="35"/>
      <c r="E120" s="35"/>
      <c r="F120" s="36"/>
      <c r="G120" s="36"/>
      <c r="H120" s="5" t="str">
        <f t="shared" si="3"/>
        <v/>
      </c>
      <c r="I120" s="35"/>
      <c r="J120" s="36"/>
      <c r="K120" s="35"/>
    </row>
    <row r="121" spans="1:11">
      <c r="A121" s="5" t="str">
        <f t="shared" si="2"/>
        <v/>
      </c>
      <c r="B121" s="37"/>
      <c r="C121" s="27" t="str">
        <f>IFERROR(VLOOKUP(B121,Config!$B$7:$C$106,2,0),"")</f>
        <v/>
      </c>
      <c r="D121" s="37"/>
      <c r="E121" s="37"/>
      <c r="F121" s="38"/>
      <c r="G121" s="38"/>
      <c r="H121" s="5" t="str">
        <f t="shared" si="3"/>
        <v/>
      </c>
      <c r="I121" s="37"/>
      <c r="J121" s="38"/>
      <c r="K121" s="37"/>
    </row>
    <row r="122" spans="1:11">
      <c r="A122" s="5" t="str">
        <f t="shared" si="2"/>
        <v/>
      </c>
      <c r="B122" s="35"/>
      <c r="C122" s="27" t="str">
        <f>IFERROR(VLOOKUP(B122,Config!$B$7:$C$106,2,0),"")</f>
        <v/>
      </c>
      <c r="D122" s="35"/>
      <c r="E122" s="35"/>
      <c r="F122" s="36"/>
      <c r="G122" s="36"/>
      <c r="H122" s="5" t="str">
        <f t="shared" si="3"/>
        <v/>
      </c>
      <c r="I122" s="35"/>
      <c r="J122" s="36"/>
      <c r="K122" s="35"/>
    </row>
    <row r="123" spans="1:11">
      <c r="A123" s="5" t="str">
        <f t="shared" si="2"/>
        <v/>
      </c>
      <c r="B123" s="37"/>
      <c r="C123" s="27" t="str">
        <f>IFERROR(VLOOKUP(B123,Config!$B$7:$C$106,2,0),"")</f>
        <v/>
      </c>
      <c r="D123" s="37"/>
      <c r="E123" s="37"/>
      <c r="F123" s="38"/>
      <c r="G123" s="38"/>
      <c r="H123" s="5" t="str">
        <f t="shared" si="3"/>
        <v/>
      </c>
      <c r="I123" s="37"/>
      <c r="J123" s="38"/>
      <c r="K123" s="37"/>
    </row>
    <row r="124" spans="1:11">
      <c r="A124" s="5" t="str">
        <f t="shared" si="2"/>
        <v/>
      </c>
      <c r="B124" s="35"/>
      <c r="C124" s="27" t="str">
        <f>IFERROR(VLOOKUP(B124,Config!$B$7:$C$106,2,0),"")</f>
        <v/>
      </c>
      <c r="D124" s="35"/>
      <c r="E124" s="35"/>
      <c r="F124" s="36"/>
      <c r="G124" s="36"/>
      <c r="H124" s="5" t="str">
        <f t="shared" si="3"/>
        <v/>
      </c>
      <c r="I124" s="35"/>
      <c r="J124" s="36"/>
      <c r="K124" s="35"/>
    </row>
    <row r="125" spans="1:11">
      <c r="A125" s="5" t="str">
        <f t="shared" si="2"/>
        <v/>
      </c>
      <c r="B125" s="37"/>
      <c r="C125" s="27" t="str">
        <f>IFERROR(VLOOKUP(B125,Config!$B$7:$C$106,2,0),"")</f>
        <v/>
      </c>
      <c r="D125" s="37"/>
      <c r="E125" s="37"/>
      <c r="F125" s="38"/>
      <c r="G125" s="38"/>
      <c r="H125" s="5" t="str">
        <f t="shared" si="3"/>
        <v/>
      </c>
      <c r="I125" s="37"/>
      <c r="J125" s="38"/>
      <c r="K125" s="37"/>
    </row>
    <row r="126" spans="1:11">
      <c r="A126" s="5" t="str">
        <f t="shared" si="2"/>
        <v/>
      </c>
      <c r="B126" s="35"/>
      <c r="C126" s="27" t="str">
        <f>IFERROR(VLOOKUP(B126,Config!$B$7:$C$106,2,0),"")</f>
        <v/>
      </c>
      <c r="D126" s="35"/>
      <c r="E126" s="35"/>
      <c r="F126" s="36"/>
      <c r="G126" s="36"/>
      <c r="H126" s="5" t="str">
        <f t="shared" si="3"/>
        <v/>
      </c>
      <c r="I126" s="35"/>
      <c r="J126" s="36"/>
      <c r="K126" s="35"/>
    </row>
    <row r="127" spans="1:11">
      <c r="A127" s="5" t="str">
        <f t="shared" si="2"/>
        <v/>
      </c>
      <c r="B127" s="37"/>
      <c r="C127" s="27" t="str">
        <f>IFERROR(VLOOKUP(B127,Config!$B$7:$C$106,2,0),"")</f>
        <v/>
      </c>
      <c r="D127" s="37"/>
      <c r="E127" s="37"/>
      <c r="F127" s="38"/>
      <c r="G127" s="38"/>
      <c r="H127" s="5" t="str">
        <f t="shared" si="3"/>
        <v/>
      </c>
      <c r="I127" s="37"/>
      <c r="J127" s="38"/>
      <c r="K127" s="37"/>
    </row>
    <row r="128" spans="1:11">
      <c r="A128" s="5" t="str">
        <f t="shared" si="2"/>
        <v/>
      </c>
      <c r="B128" s="35"/>
      <c r="C128" s="27" t="str">
        <f>IFERROR(VLOOKUP(B128,Config!$B$7:$C$106,2,0),"")</f>
        <v/>
      </c>
      <c r="D128" s="35"/>
      <c r="E128" s="35"/>
      <c r="F128" s="36"/>
      <c r="G128" s="36"/>
      <c r="H128" s="5" t="str">
        <f t="shared" si="3"/>
        <v/>
      </c>
      <c r="I128" s="35"/>
      <c r="J128" s="36"/>
      <c r="K128" s="35"/>
    </row>
    <row r="129" spans="1:11">
      <c r="A129" s="5" t="str">
        <f t="shared" si="2"/>
        <v/>
      </c>
      <c r="B129" s="37"/>
      <c r="C129" s="27" t="str">
        <f>IFERROR(VLOOKUP(B129,Config!$B$7:$C$106,2,0),"")</f>
        <v/>
      </c>
      <c r="D129" s="37"/>
      <c r="E129" s="37"/>
      <c r="F129" s="38"/>
      <c r="G129" s="38"/>
      <c r="H129" s="5" t="str">
        <f t="shared" si="3"/>
        <v/>
      </c>
      <c r="I129" s="37"/>
      <c r="J129" s="38"/>
      <c r="K129" s="37"/>
    </row>
    <row r="130" spans="1:11">
      <c r="A130" s="5" t="str">
        <f t="shared" si="2"/>
        <v/>
      </c>
      <c r="B130" s="35"/>
      <c r="C130" s="27" t="str">
        <f>IFERROR(VLOOKUP(B130,Config!$B$7:$C$106,2,0),"")</f>
        <v/>
      </c>
      <c r="D130" s="35"/>
      <c r="E130" s="35"/>
      <c r="F130" s="36"/>
      <c r="G130" s="36"/>
      <c r="H130" s="5" t="str">
        <f t="shared" si="3"/>
        <v/>
      </c>
      <c r="I130" s="35"/>
      <c r="J130" s="36"/>
      <c r="K130" s="35"/>
    </row>
    <row r="131" spans="1:11">
      <c r="A131" s="5" t="str">
        <f t="shared" si="2"/>
        <v/>
      </c>
      <c r="B131" s="37"/>
      <c r="C131" s="27" t="str">
        <f>IFERROR(VLOOKUP(B131,Config!$B$7:$C$106,2,0),"")</f>
        <v/>
      </c>
      <c r="D131" s="37"/>
      <c r="E131" s="37"/>
      <c r="F131" s="38"/>
      <c r="G131" s="38"/>
      <c r="H131" s="5" t="str">
        <f t="shared" si="3"/>
        <v/>
      </c>
      <c r="I131" s="37"/>
      <c r="J131" s="38"/>
      <c r="K131" s="37"/>
    </row>
    <row r="132" spans="1:11">
      <c r="A132" s="5" t="str">
        <f t="shared" ref="A132:A195" si="4">IF(B132="","",ROW()-3)</f>
        <v/>
      </c>
      <c r="B132" s="35"/>
      <c r="C132" s="27" t="str">
        <f>IFERROR(VLOOKUP(B132,Config!$B$7:$C$106,2,0),"")</f>
        <v/>
      </c>
      <c r="D132" s="35"/>
      <c r="E132" s="35"/>
      <c r="F132" s="36"/>
      <c r="G132" s="36"/>
      <c r="H132" s="5" t="str">
        <f t="shared" ref="H132:H195" si="5">IF(F132="","",TEXT(F132,"MMMM YYYY"))</f>
        <v/>
      </c>
      <c r="I132" s="35"/>
      <c r="J132" s="36"/>
      <c r="K132" s="35"/>
    </row>
    <row r="133" spans="1:11">
      <c r="A133" s="5" t="str">
        <f t="shared" si="4"/>
        <v/>
      </c>
      <c r="B133" s="37"/>
      <c r="C133" s="27" t="str">
        <f>IFERROR(VLOOKUP(B133,Config!$B$7:$C$106,2,0),"")</f>
        <v/>
      </c>
      <c r="D133" s="37"/>
      <c r="E133" s="37"/>
      <c r="F133" s="38"/>
      <c r="G133" s="38"/>
      <c r="H133" s="5" t="str">
        <f t="shared" si="5"/>
        <v/>
      </c>
      <c r="I133" s="37"/>
      <c r="J133" s="38"/>
      <c r="K133" s="37"/>
    </row>
    <row r="134" spans="1:11">
      <c r="A134" s="5" t="str">
        <f t="shared" si="4"/>
        <v/>
      </c>
      <c r="B134" s="35"/>
      <c r="C134" s="27" t="str">
        <f>IFERROR(VLOOKUP(B134,Config!$B$7:$C$106,2,0),"")</f>
        <v/>
      </c>
      <c r="D134" s="35"/>
      <c r="E134" s="35"/>
      <c r="F134" s="36"/>
      <c r="G134" s="36"/>
      <c r="H134" s="5" t="str">
        <f t="shared" si="5"/>
        <v/>
      </c>
      <c r="I134" s="35"/>
      <c r="J134" s="36"/>
      <c r="K134" s="35"/>
    </row>
    <row r="135" spans="1:11">
      <c r="A135" s="5" t="str">
        <f t="shared" si="4"/>
        <v/>
      </c>
      <c r="B135" s="37"/>
      <c r="C135" s="27" t="str">
        <f>IFERROR(VLOOKUP(B135,Config!$B$7:$C$106,2,0),"")</f>
        <v/>
      </c>
      <c r="D135" s="37"/>
      <c r="E135" s="37"/>
      <c r="F135" s="38"/>
      <c r="G135" s="38"/>
      <c r="H135" s="5" t="str">
        <f t="shared" si="5"/>
        <v/>
      </c>
      <c r="I135" s="37"/>
      <c r="J135" s="38"/>
      <c r="K135" s="37"/>
    </row>
    <row r="136" spans="1:11">
      <c r="A136" s="5" t="str">
        <f t="shared" si="4"/>
        <v/>
      </c>
      <c r="B136" s="35"/>
      <c r="C136" s="27" t="str">
        <f>IFERROR(VLOOKUP(B136,Config!$B$7:$C$106,2,0),"")</f>
        <v/>
      </c>
      <c r="D136" s="35"/>
      <c r="E136" s="35"/>
      <c r="F136" s="36"/>
      <c r="G136" s="36"/>
      <c r="H136" s="5" t="str">
        <f t="shared" si="5"/>
        <v/>
      </c>
      <c r="I136" s="35"/>
      <c r="J136" s="36"/>
      <c r="K136" s="35"/>
    </row>
    <row r="137" spans="1:11">
      <c r="A137" s="5" t="str">
        <f t="shared" si="4"/>
        <v/>
      </c>
      <c r="B137" s="37"/>
      <c r="C137" s="27" t="str">
        <f>IFERROR(VLOOKUP(B137,Config!$B$7:$C$106,2,0),"")</f>
        <v/>
      </c>
      <c r="D137" s="37"/>
      <c r="E137" s="37"/>
      <c r="F137" s="38"/>
      <c r="G137" s="38"/>
      <c r="H137" s="5" t="str">
        <f t="shared" si="5"/>
        <v/>
      </c>
      <c r="I137" s="37"/>
      <c r="J137" s="38"/>
      <c r="K137" s="37"/>
    </row>
    <row r="138" spans="1:11">
      <c r="A138" s="5" t="str">
        <f t="shared" si="4"/>
        <v/>
      </c>
      <c r="B138" s="35"/>
      <c r="C138" s="27" t="str">
        <f>IFERROR(VLOOKUP(B138,Config!$B$7:$C$106,2,0),"")</f>
        <v/>
      </c>
      <c r="D138" s="35"/>
      <c r="E138" s="35"/>
      <c r="F138" s="36"/>
      <c r="G138" s="36"/>
      <c r="H138" s="5" t="str">
        <f t="shared" si="5"/>
        <v/>
      </c>
      <c r="I138" s="35"/>
      <c r="J138" s="36"/>
      <c r="K138" s="35"/>
    </row>
    <row r="139" spans="1:11">
      <c r="A139" s="5" t="str">
        <f t="shared" si="4"/>
        <v/>
      </c>
      <c r="B139" s="37"/>
      <c r="C139" s="27" t="str">
        <f>IFERROR(VLOOKUP(B139,Config!$B$7:$C$106,2,0),"")</f>
        <v/>
      </c>
      <c r="D139" s="37"/>
      <c r="E139" s="37"/>
      <c r="F139" s="38"/>
      <c r="G139" s="38"/>
      <c r="H139" s="5" t="str">
        <f t="shared" si="5"/>
        <v/>
      </c>
      <c r="I139" s="37"/>
      <c r="J139" s="38"/>
      <c r="K139" s="37"/>
    </row>
    <row r="140" spans="1:11">
      <c r="A140" s="5" t="str">
        <f t="shared" si="4"/>
        <v/>
      </c>
      <c r="B140" s="35"/>
      <c r="C140" s="27" t="str">
        <f>IFERROR(VLOOKUP(B140,Config!$B$7:$C$106,2,0),"")</f>
        <v/>
      </c>
      <c r="D140" s="35"/>
      <c r="E140" s="35"/>
      <c r="F140" s="36"/>
      <c r="G140" s="36"/>
      <c r="H140" s="5" t="str">
        <f t="shared" si="5"/>
        <v/>
      </c>
      <c r="I140" s="35"/>
      <c r="J140" s="36"/>
      <c r="K140" s="35"/>
    </row>
    <row r="141" spans="1:11">
      <c r="A141" s="5" t="str">
        <f t="shared" si="4"/>
        <v/>
      </c>
      <c r="B141" s="37"/>
      <c r="C141" s="27" t="str">
        <f>IFERROR(VLOOKUP(B141,Config!$B$7:$C$106,2,0),"")</f>
        <v/>
      </c>
      <c r="D141" s="37"/>
      <c r="E141" s="37"/>
      <c r="F141" s="38"/>
      <c r="G141" s="38"/>
      <c r="H141" s="5" t="str">
        <f t="shared" si="5"/>
        <v/>
      </c>
      <c r="I141" s="37"/>
      <c r="J141" s="38"/>
      <c r="K141" s="37"/>
    </row>
    <row r="142" spans="1:11">
      <c r="A142" s="5" t="str">
        <f t="shared" si="4"/>
        <v/>
      </c>
      <c r="B142" s="35"/>
      <c r="C142" s="27" t="str">
        <f>IFERROR(VLOOKUP(B142,Config!$B$7:$C$106,2,0),"")</f>
        <v/>
      </c>
      <c r="D142" s="35"/>
      <c r="E142" s="35"/>
      <c r="F142" s="36"/>
      <c r="G142" s="36"/>
      <c r="H142" s="5" t="str">
        <f t="shared" si="5"/>
        <v/>
      </c>
      <c r="I142" s="35"/>
      <c r="J142" s="36"/>
      <c r="K142" s="35"/>
    </row>
    <row r="143" spans="1:11">
      <c r="A143" s="5" t="str">
        <f t="shared" si="4"/>
        <v/>
      </c>
      <c r="B143" s="37"/>
      <c r="C143" s="27" t="str">
        <f>IFERROR(VLOOKUP(B143,Config!$B$7:$C$106,2,0),"")</f>
        <v/>
      </c>
      <c r="D143" s="37"/>
      <c r="E143" s="37"/>
      <c r="F143" s="38"/>
      <c r="G143" s="38"/>
      <c r="H143" s="5" t="str">
        <f t="shared" si="5"/>
        <v/>
      </c>
      <c r="I143" s="37"/>
      <c r="J143" s="38"/>
      <c r="K143" s="37"/>
    </row>
    <row r="144" spans="1:11">
      <c r="A144" s="5" t="str">
        <f t="shared" si="4"/>
        <v/>
      </c>
      <c r="B144" s="35"/>
      <c r="C144" s="27" t="str">
        <f>IFERROR(VLOOKUP(B144,Config!$B$7:$C$106,2,0),"")</f>
        <v/>
      </c>
      <c r="D144" s="35"/>
      <c r="E144" s="35"/>
      <c r="F144" s="36"/>
      <c r="G144" s="36"/>
      <c r="H144" s="5" t="str">
        <f t="shared" si="5"/>
        <v/>
      </c>
      <c r="I144" s="35"/>
      <c r="J144" s="36"/>
      <c r="K144" s="35"/>
    </row>
    <row r="145" spans="1:11">
      <c r="A145" s="5" t="str">
        <f t="shared" si="4"/>
        <v/>
      </c>
      <c r="B145" s="37"/>
      <c r="C145" s="27" t="str">
        <f>IFERROR(VLOOKUP(B145,Config!$B$7:$C$106,2,0),"")</f>
        <v/>
      </c>
      <c r="D145" s="37"/>
      <c r="E145" s="37"/>
      <c r="F145" s="38"/>
      <c r="G145" s="38"/>
      <c r="H145" s="5" t="str">
        <f t="shared" si="5"/>
        <v/>
      </c>
      <c r="I145" s="37"/>
      <c r="J145" s="38"/>
      <c r="K145" s="37"/>
    </row>
    <row r="146" spans="1:11">
      <c r="A146" s="5" t="str">
        <f t="shared" si="4"/>
        <v/>
      </c>
      <c r="B146" s="35"/>
      <c r="C146" s="27" t="str">
        <f>IFERROR(VLOOKUP(B146,Config!$B$7:$C$106,2,0),"")</f>
        <v/>
      </c>
      <c r="D146" s="35"/>
      <c r="E146" s="35"/>
      <c r="F146" s="36"/>
      <c r="G146" s="36"/>
      <c r="H146" s="5" t="str">
        <f t="shared" si="5"/>
        <v/>
      </c>
      <c r="I146" s="35"/>
      <c r="J146" s="36"/>
      <c r="K146" s="35"/>
    </row>
    <row r="147" spans="1:11">
      <c r="A147" s="5" t="str">
        <f t="shared" si="4"/>
        <v/>
      </c>
      <c r="B147" s="37"/>
      <c r="C147" s="27" t="str">
        <f>IFERROR(VLOOKUP(B147,Config!$B$7:$C$106,2,0),"")</f>
        <v/>
      </c>
      <c r="D147" s="37"/>
      <c r="E147" s="37"/>
      <c r="F147" s="38"/>
      <c r="G147" s="38"/>
      <c r="H147" s="5" t="str">
        <f t="shared" si="5"/>
        <v/>
      </c>
      <c r="I147" s="37"/>
      <c r="J147" s="38"/>
      <c r="K147" s="37"/>
    </row>
    <row r="148" spans="1:11">
      <c r="A148" s="5" t="str">
        <f t="shared" si="4"/>
        <v/>
      </c>
      <c r="B148" s="35"/>
      <c r="C148" s="27" t="str">
        <f>IFERROR(VLOOKUP(B148,Config!$B$7:$C$106,2,0),"")</f>
        <v/>
      </c>
      <c r="D148" s="35"/>
      <c r="E148" s="35"/>
      <c r="F148" s="36"/>
      <c r="G148" s="36"/>
      <c r="H148" s="5" t="str">
        <f t="shared" si="5"/>
        <v/>
      </c>
      <c r="I148" s="35"/>
      <c r="J148" s="36"/>
      <c r="K148" s="35"/>
    </row>
    <row r="149" spans="1:11">
      <c r="A149" s="5" t="str">
        <f t="shared" si="4"/>
        <v/>
      </c>
      <c r="B149" s="37"/>
      <c r="C149" s="27" t="str">
        <f>IFERROR(VLOOKUP(B149,Config!$B$7:$C$106,2,0),"")</f>
        <v/>
      </c>
      <c r="D149" s="37"/>
      <c r="E149" s="37"/>
      <c r="F149" s="38"/>
      <c r="G149" s="38"/>
      <c r="H149" s="5" t="str">
        <f t="shared" si="5"/>
        <v/>
      </c>
      <c r="I149" s="37"/>
      <c r="J149" s="38"/>
      <c r="K149" s="37"/>
    </row>
    <row r="150" spans="1:11">
      <c r="A150" s="5" t="str">
        <f t="shared" si="4"/>
        <v/>
      </c>
      <c r="B150" s="35"/>
      <c r="C150" s="27" t="str">
        <f>IFERROR(VLOOKUP(B150,Config!$B$7:$C$106,2,0),"")</f>
        <v/>
      </c>
      <c r="D150" s="35"/>
      <c r="E150" s="35"/>
      <c r="F150" s="36"/>
      <c r="G150" s="36"/>
      <c r="H150" s="5" t="str">
        <f t="shared" si="5"/>
        <v/>
      </c>
      <c r="I150" s="35"/>
      <c r="J150" s="36"/>
      <c r="K150" s="35"/>
    </row>
    <row r="151" spans="1:11">
      <c r="A151" s="5" t="str">
        <f t="shared" si="4"/>
        <v/>
      </c>
      <c r="B151" s="37"/>
      <c r="C151" s="27" t="str">
        <f>IFERROR(VLOOKUP(B151,Config!$B$7:$C$106,2,0),"")</f>
        <v/>
      </c>
      <c r="D151" s="37"/>
      <c r="E151" s="37"/>
      <c r="F151" s="38"/>
      <c r="G151" s="38"/>
      <c r="H151" s="5" t="str">
        <f t="shared" si="5"/>
        <v/>
      </c>
      <c r="I151" s="37"/>
      <c r="J151" s="38"/>
      <c r="K151" s="37"/>
    </row>
    <row r="152" spans="1:11">
      <c r="A152" s="5" t="str">
        <f t="shared" si="4"/>
        <v/>
      </c>
      <c r="B152" s="35"/>
      <c r="C152" s="27" t="str">
        <f>IFERROR(VLOOKUP(B152,Config!$B$7:$C$106,2,0),"")</f>
        <v/>
      </c>
      <c r="D152" s="35"/>
      <c r="E152" s="35"/>
      <c r="F152" s="36"/>
      <c r="G152" s="36"/>
      <c r="H152" s="5" t="str">
        <f t="shared" si="5"/>
        <v/>
      </c>
      <c r="I152" s="35"/>
      <c r="J152" s="36"/>
      <c r="K152" s="35"/>
    </row>
    <row r="153" spans="1:11">
      <c r="A153" s="5" t="str">
        <f t="shared" si="4"/>
        <v/>
      </c>
      <c r="B153" s="37"/>
      <c r="C153" s="27" t="str">
        <f>IFERROR(VLOOKUP(B153,Config!$B$7:$C$106,2,0),"")</f>
        <v/>
      </c>
      <c r="D153" s="37"/>
      <c r="E153" s="37"/>
      <c r="F153" s="38"/>
      <c r="G153" s="38"/>
      <c r="H153" s="5" t="str">
        <f t="shared" si="5"/>
        <v/>
      </c>
      <c r="I153" s="37"/>
      <c r="J153" s="38"/>
      <c r="K153" s="37"/>
    </row>
    <row r="154" spans="1:11">
      <c r="A154" s="5" t="str">
        <f t="shared" si="4"/>
        <v/>
      </c>
      <c r="B154" s="35"/>
      <c r="C154" s="27" t="str">
        <f>IFERROR(VLOOKUP(B154,Config!$B$7:$C$106,2,0),"")</f>
        <v/>
      </c>
      <c r="D154" s="35"/>
      <c r="E154" s="35"/>
      <c r="F154" s="36"/>
      <c r="G154" s="36"/>
      <c r="H154" s="5" t="str">
        <f t="shared" si="5"/>
        <v/>
      </c>
      <c r="I154" s="35"/>
      <c r="J154" s="36"/>
      <c r="K154" s="35"/>
    </row>
    <row r="155" spans="1:11">
      <c r="A155" s="5" t="str">
        <f t="shared" si="4"/>
        <v/>
      </c>
      <c r="B155" s="37"/>
      <c r="C155" s="27" t="str">
        <f>IFERROR(VLOOKUP(B155,Config!$B$7:$C$106,2,0),"")</f>
        <v/>
      </c>
      <c r="D155" s="37"/>
      <c r="E155" s="37"/>
      <c r="F155" s="38"/>
      <c r="G155" s="38"/>
      <c r="H155" s="5" t="str">
        <f t="shared" si="5"/>
        <v/>
      </c>
      <c r="I155" s="37"/>
      <c r="J155" s="38"/>
      <c r="K155" s="37"/>
    </row>
    <row r="156" spans="1:11">
      <c r="A156" s="5" t="str">
        <f t="shared" si="4"/>
        <v/>
      </c>
      <c r="B156" s="35"/>
      <c r="C156" s="27" t="str">
        <f>IFERROR(VLOOKUP(B156,Config!$B$7:$C$106,2,0),"")</f>
        <v/>
      </c>
      <c r="D156" s="35"/>
      <c r="E156" s="35"/>
      <c r="F156" s="36"/>
      <c r="G156" s="36"/>
      <c r="H156" s="5" t="str">
        <f t="shared" si="5"/>
        <v/>
      </c>
      <c r="I156" s="35"/>
      <c r="J156" s="36"/>
      <c r="K156" s="35"/>
    </row>
    <row r="157" spans="1:11">
      <c r="A157" s="5" t="str">
        <f t="shared" si="4"/>
        <v/>
      </c>
      <c r="B157" s="37"/>
      <c r="C157" s="27" t="str">
        <f>IFERROR(VLOOKUP(B157,Config!$B$7:$C$106,2,0),"")</f>
        <v/>
      </c>
      <c r="D157" s="37"/>
      <c r="E157" s="37"/>
      <c r="F157" s="38"/>
      <c r="G157" s="38"/>
      <c r="H157" s="5" t="str">
        <f t="shared" si="5"/>
        <v/>
      </c>
      <c r="I157" s="37"/>
      <c r="J157" s="38"/>
      <c r="K157" s="37"/>
    </row>
    <row r="158" spans="1:11">
      <c r="A158" s="5" t="str">
        <f t="shared" si="4"/>
        <v/>
      </c>
      <c r="B158" s="35"/>
      <c r="C158" s="27" t="str">
        <f>IFERROR(VLOOKUP(B158,Config!$B$7:$C$106,2,0),"")</f>
        <v/>
      </c>
      <c r="D158" s="35"/>
      <c r="E158" s="35"/>
      <c r="F158" s="36"/>
      <c r="G158" s="36"/>
      <c r="H158" s="5" t="str">
        <f t="shared" si="5"/>
        <v/>
      </c>
      <c r="I158" s="35"/>
      <c r="J158" s="36"/>
      <c r="K158" s="35"/>
    </row>
    <row r="159" spans="1:11">
      <c r="A159" s="5" t="str">
        <f t="shared" si="4"/>
        <v/>
      </c>
      <c r="B159" s="37"/>
      <c r="C159" s="27" t="str">
        <f>IFERROR(VLOOKUP(B159,Config!$B$7:$C$106,2,0),"")</f>
        <v/>
      </c>
      <c r="D159" s="37"/>
      <c r="E159" s="37"/>
      <c r="F159" s="38"/>
      <c r="G159" s="38"/>
      <c r="H159" s="5" t="str">
        <f t="shared" si="5"/>
        <v/>
      </c>
      <c r="I159" s="37"/>
      <c r="J159" s="38"/>
      <c r="K159" s="37"/>
    </row>
    <row r="160" spans="1:11">
      <c r="A160" s="5" t="str">
        <f t="shared" si="4"/>
        <v/>
      </c>
      <c r="B160" s="35"/>
      <c r="C160" s="27" t="str">
        <f>IFERROR(VLOOKUP(B160,Config!$B$7:$C$106,2,0),"")</f>
        <v/>
      </c>
      <c r="D160" s="35"/>
      <c r="E160" s="35"/>
      <c r="F160" s="36"/>
      <c r="G160" s="36"/>
      <c r="H160" s="5" t="str">
        <f t="shared" si="5"/>
        <v/>
      </c>
      <c r="I160" s="35"/>
      <c r="J160" s="36"/>
      <c r="K160" s="35"/>
    </row>
    <row r="161" spans="1:11">
      <c r="A161" s="5" t="str">
        <f t="shared" si="4"/>
        <v/>
      </c>
      <c r="B161" s="37"/>
      <c r="C161" s="27" t="str">
        <f>IFERROR(VLOOKUP(B161,Config!$B$7:$C$106,2,0),"")</f>
        <v/>
      </c>
      <c r="D161" s="37"/>
      <c r="E161" s="37"/>
      <c r="F161" s="38"/>
      <c r="G161" s="38"/>
      <c r="H161" s="5" t="str">
        <f t="shared" si="5"/>
        <v/>
      </c>
      <c r="I161" s="37"/>
      <c r="J161" s="38"/>
      <c r="K161" s="37"/>
    </row>
    <row r="162" spans="1:11">
      <c r="A162" s="5" t="str">
        <f t="shared" si="4"/>
        <v/>
      </c>
      <c r="B162" s="35"/>
      <c r="C162" s="27" t="str">
        <f>IFERROR(VLOOKUP(B162,Config!$B$7:$C$106,2,0),"")</f>
        <v/>
      </c>
      <c r="D162" s="35"/>
      <c r="E162" s="35"/>
      <c r="F162" s="36"/>
      <c r="G162" s="36"/>
      <c r="H162" s="5" t="str">
        <f t="shared" si="5"/>
        <v/>
      </c>
      <c r="I162" s="35"/>
      <c r="J162" s="36"/>
      <c r="K162" s="35"/>
    </row>
    <row r="163" spans="1:11">
      <c r="A163" s="5" t="str">
        <f t="shared" si="4"/>
        <v/>
      </c>
      <c r="B163" s="37"/>
      <c r="C163" s="27" t="str">
        <f>IFERROR(VLOOKUP(B163,Config!$B$7:$C$106,2,0),"")</f>
        <v/>
      </c>
      <c r="D163" s="37"/>
      <c r="E163" s="37"/>
      <c r="F163" s="38"/>
      <c r="G163" s="38"/>
      <c r="H163" s="5" t="str">
        <f t="shared" si="5"/>
        <v/>
      </c>
      <c r="I163" s="37"/>
      <c r="J163" s="38"/>
      <c r="K163" s="37"/>
    </row>
    <row r="164" spans="1:11">
      <c r="A164" s="5" t="str">
        <f t="shared" si="4"/>
        <v/>
      </c>
      <c r="B164" s="35"/>
      <c r="C164" s="27" t="str">
        <f>IFERROR(VLOOKUP(B164,Config!$B$7:$C$106,2,0),"")</f>
        <v/>
      </c>
      <c r="D164" s="35"/>
      <c r="E164" s="35"/>
      <c r="F164" s="36"/>
      <c r="G164" s="36"/>
      <c r="H164" s="5" t="str">
        <f t="shared" si="5"/>
        <v/>
      </c>
      <c r="I164" s="35"/>
      <c r="J164" s="36"/>
      <c r="K164" s="35"/>
    </row>
    <row r="165" spans="1:11">
      <c r="A165" s="5" t="str">
        <f t="shared" si="4"/>
        <v/>
      </c>
      <c r="B165" s="37"/>
      <c r="C165" s="27" t="str">
        <f>IFERROR(VLOOKUP(B165,Config!$B$7:$C$106,2,0),"")</f>
        <v/>
      </c>
      <c r="D165" s="37"/>
      <c r="E165" s="37"/>
      <c r="F165" s="38"/>
      <c r="G165" s="38"/>
      <c r="H165" s="5" t="str">
        <f t="shared" si="5"/>
        <v/>
      </c>
      <c r="I165" s="37"/>
      <c r="J165" s="38"/>
      <c r="K165" s="37"/>
    </row>
    <row r="166" spans="1:11">
      <c r="A166" s="5" t="str">
        <f t="shared" si="4"/>
        <v/>
      </c>
      <c r="B166" s="35"/>
      <c r="C166" s="27" t="str">
        <f>IFERROR(VLOOKUP(B166,Config!$B$7:$C$106,2,0),"")</f>
        <v/>
      </c>
      <c r="D166" s="35"/>
      <c r="E166" s="35"/>
      <c r="F166" s="36"/>
      <c r="G166" s="36"/>
      <c r="H166" s="5" t="str">
        <f t="shared" si="5"/>
        <v/>
      </c>
      <c r="I166" s="35"/>
      <c r="J166" s="36"/>
      <c r="K166" s="35"/>
    </row>
    <row r="167" spans="1:11">
      <c r="A167" s="5" t="str">
        <f t="shared" si="4"/>
        <v/>
      </c>
      <c r="B167" s="37"/>
      <c r="C167" s="27" t="str">
        <f>IFERROR(VLOOKUP(B167,Config!$B$7:$C$106,2,0),"")</f>
        <v/>
      </c>
      <c r="D167" s="37"/>
      <c r="E167" s="37"/>
      <c r="F167" s="38"/>
      <c r="G167" s="38"/>
      <c r="H167" s="5" t="str">
        <f t="shared" si="5"/>
        <v/>
      </c>
      <c r="I167" s="37"/>
      <c r="J167" s="38"/>
      <c r="K167" s="37"/>
    </row>
    <row r="168" spans="1:11">
      <c r="A168" s="5" t="str">
        <f t="shared" si="4"/>
        <v/>
      </c>
      <c r="B168" s="35"/>
      <c r="C168" s="27" t="str">
        <f>IFERROR(VLOOKUP(B168,Config!$B$7:$C$106,2,0),"")</f>
        <v/>
      </c>
      <c r="D168" s="35"/>
      <c r="E168" s="35"/>
      <c r="F168" s="36"/>
      <c r="G168" s="36"/>
      <c r="H168" s="5" t="str">
        <f t="shared" si="5"/>
        <v/>
      </c>
      <c r="I168" s="35"/>
      <c r="J168" s="36"/>
      <c r="K168" s="35"/>
    </row>
    <row r="169" spans="1:11">
      <c r="A169" s="5" t="str">
        <f t="shared" si="4"/>
        <v/>
      </c>
      <c r="B169" s="37"/>
      <c r="C169" s="27" t="str">
        <f>IFERROR(VLOOKUP(B169,Config!$B$7:$C$106,2,0),"")</f>
        <v/>
      </c>
      <c r="D169" s="37"/>
      <c r="E169" s="37"/>
      <c r="F169" s="38"/>
      <c r="G169" s="38"/>
      <c r="H169" s="5" t="str">
        <f t="shared" si="5"/>
        <v/>
      </c>
      <c r="I169" s="37"/>
      <c r="J169" s="38"/>
      <c r="K169" s="37"/>
    </row>
    <row r="170" spans="1:11">
      <c r="A170" s="5" t="str">
        <f t="shared" si="4"/>
        <v/>
      </c>
      <c r="B170" s="35"/>
      <c r="C170" s="27" t="str">
        <f>IFERROR(VLOOKUP(B170,Config!$B$7:$C$106,2,0),"")</f>
        <v/>
      </c>
      <c r="D170" s="35"/>
      <c r="E170" s="35"/>
      <c r="F170" s="36"/>
      <c r="G170" s="36"/>
      <c r="H170" s="5" t="str">
        <f t="shared" si="5"/>
        <v/>
      </c>
      <c r="I170" s="35"/>
      <c r="J170" s="36"/>
      <c r="K170" s="35"/>
    </row>
    <row r="171" spans="1:11">
      <c r="A171" s="5" t="str">
        <f t="shared" si="4"/>
        <v/>
      </c>
      <c r="B171" s="37"/>
      <c r="C171" s="27" t="str">
        <f>IFERROR(VLOOKUP(B171,Config!$B$7:$C$106,2,0),"")</f>
        <v/>
      </c>
      <c r="D171" s="37"/>
      <c r="E171" s="37"/>
      <c r="F171" s="38"/>
      <c r="G171" s="38"/>
      <c r="H171" s="5" t="str">
        <f t="shared" si="5"/>
        <v/>
      </c>
      <c r="I171" s="37"/>
      <c r="J171" s="38"/>
      <c r="K171" s="37"/>
    </row>
    <row r="172" spans="1:11">
      <c r="A172" s="5" t="str">
        <f t="shared" si="4"/>
        <v/>
      </c>
      <c r="B172" s="35"/>
      <c r="C172" s="27" t="str">
        <f>IFERROR(VLOOKUP(B172,Config!$B$7:$C$106,2,0),"")</f>
        <v/>
      </c>
      <c r="D172" s="35"/>
      <c r="E172" s="35"/>
      <c r="F172" s="36"/>
      <c r="G172" s="36"/>
      <c r="H172" s="5" t="str">
        <f t="shared" si="5"/>
        <v/>
      </c>
      <c r="I172" s="35"/>
      <c r="J172" s="36"/>
      <c r="K172" s="35"/>
    </row>
    <row r="173" spans="1:11">
      <c r="A173" s="5" t="str">
        <f t="shared" si="4"/>
        <v/>
      </c>
      <c r="B173" s="37"/>
      <c r="C173" s="27" t="str">
        <f>IFERROR(VLOOKUP(B173,Config!$B$7:$C$106,2,0),"")</f>
        <v/>
      </c>
      <c r="D173" s="37"/>
      <c r="E173" s="37"/>
      <c r="F173" s="38"/>
      <c r="G173" s="38"/>
      <c r="H173" s="5" t="str">
        <f t="shared" si="5"/>
        <v/>
      </c>
      <c r="I173" s="37"/>
      <c r="J173" s="38"/>
      <c r="K173" s="37"/>
    </row>
    <row r="174" spans="1:11">
      <c r="A174" s="5" t="str">
        <f t="shared" si="4"/>
        <v/>
      </c>
      <c r="B174" s="35"/>
      <c r="C174" s="27" t="str">
        <f>IFERROR(VLOOKUP(B174,Config!$B$7:$C$106,2,0),"")</f>
        <v/>
      </c>
      <c r="D174" s="35"/>
      <c r="E174" s="35"/>
      <c r="F174" s="36"/>
      <c r="G174" s="36"/>
      <c r="H174" s="5" t="str">
        <f t="shared" si="5"/>
        <v/>
      </c>
      <c r="I174" s="35"/>
      <c r="J174" s="36"/>
      <c r="K174" s="35"/>
    </row>
    <row r="175" spans="1:11">
      <c r="A175" s="5" t="str">
        <f t="shared" si="4"/>
        <v/>
      </c>
      <c r="B175" s="37"/>
      <c r="C175" s="27" t="str">
        <f>IFERROR(VLOOKUP(B175,Config!$B$7:$C$106,2,0),"")</f>
        <v/>
      </c>
      <c r="D175" s="37"/>
      <c r="E175" s="37"/>
      <c r="F175" s="38"/>
      <c r="G175" s="38"/>
      <c r="H175" s="5" t="str">
        <f t="shared" si="5"/>
        <v/>
      </c>
      <c r="I175" s="37"/>
      <c r="J175" s="38"/>
      <c r="K175" s="37"/>
    </row>
    <row r="176" spans="1:11">
      <c r="A176" s="5" t="str">
        <f t="shared" si="4"/>
        <v/>
      </c>
      <c r="B176" s="35"/>
      <c r="C176" s="27" t="str">
        <f>IFERROR(VLOOKUP(B176,Config!$B$7:$C$106,2,0),"")</f>
        <v/>
      </c>
      <c r="D176" s="35"/>
      <c r="E176" s="35"/>
      <c r="F176" s="36"/>
      <c r="G176" s="36"/>
      <c r="H176" s="5" t="str">
        <f t="shared" si="5"/>
        <v/>
      </c>
      <c r="I176" s="35"/>
      <c r="J176" s="36"/>
      <c r="K176" s="35"/>
    </row>
    <row r="177" spans="1:11">
      <c r="A177" s="5" t="str">
        <f t="shared" si="4"/>
        <v/>
      </c>
      <c r="B177" s="37"/>
      <c r="C177" s="27" t="str">
        <f>IFERROR(VLOOKUP(B177,Config!$B$7:$C$106,2,0),"")</f>
        <v/>
      </c>
      <c r="D177" s="37"/>
      <c r="E177" s="37"/>
      <c r="F177" s="38"/>
      <c r="G177" s="38"/>
      <c r="H177" s="5" t="str">
        <f t="shared" si="5"/>
        <v/>
      </c>
      <c r="I177" s="37"/>
      <c r="J177" s="38"/>
      <c r="K177" s="37"/>
    </row>
    <row r="178" spans="1:11">
      <c r="A178" s="5" t="str">
        <f t="shared" si="4"/>
        <v/>
      </c>
      <c r="B178" s="35"/>
      <c r="C178" s="27" t="str">
        <f>IFERROR(VLOOKUP(B178,Config!$B$7:$C$106,2,0),"")</f>
        <v/>
      </c>
      <c r="D178" s="35"/>
      <c r="E178" s="35"/>
      <c r="F178" s="36"/>
      <c r="G178" s="36"/>
      <c r="H178" s="5" t="str">
        <f t="shared" si="5"/>
        <v/>
      </c>
      <c r="I178" s="35"/>
      <c r="J178" s="36"/>
      <c r="K178" s="35"/>
    </row>
    <row r="179" spans="1:11">
      <c r="A179" s="5" t="str">
        <f t="shared" si="4"/>
        <v/>
      </c>
      <c r="B179" s="37"/>
      <c r="C179" s="27" t="str">
        <f>IFERROR(VLOOKUP(B179,Config!$B$7:$C$106,2,0),"")</f>
        <v/>
      </c>
      <c r="D179" s="37"/>
      <c r="E179" s="37"/>
      <c r="F179" s="38"/>
      <c r="G179" s="38"/>
      <c r="H179" s="5" t="str">
        <f t="shared" si="5"/>
        <v/>
      </c>
      <c r="I179" s="37"/>
      <c r="J179" s="38"/>
      <c r="K179" s="37"/>
    </row>
    <row r="180" spans="1:11">
      <c r="A180" s="5" t="str">
        <f t="shared" si="4"/>
        <v/>
      </c>
      <c r="B180" s="35"/>
      <c r="C180" s="27" t="str">
        <f>IFERROR(VLOOKUP(B180,Config!$B$7:$C$106,2,0),"")</f>
        <v/>
      </c>
      <c r="D180" s="35"/>
      <c r="E180" s="35"/>
      <c r="F180" s="36"/>
      <c r="G180" s="36"/>
      <c r="H180" s="5" t="str">
        <f t="shared" si="5"/>
        <v/>
      </c>
      <c r="I180" s="35"/>
      <c r="J180" s="36"/>
      <c r="K180" s="35"/>
    </row>
    <row r="181" spans="1:11">
      <c r="A181" s="5" t="str">
        <f t="shared" si="4"/>
        <v/>
      </c>
      <c r="B181" s="37"/>
      <c r="C181" s="27" t="str">
        <f>IFERROR(VLOOKUP(B181,Config!$B$7:$C$106,2,0),"")</f>
        <v/>
      </c>
      <c r="D181" s="37"/>
      <c r="E181" s="37"/>
      <c r="F181" s="38"/>
      <c r="G181" s="38"/>
      <c r="H181" s="5" t="str">
        <f t="shared" si="5"/>
        <v/>
      </c>
      <c r="I181" s="37"/>
      <c r="J181" s="38"/>
      <c r="K181" s="37"/>
    </row>
    <row r="182" spans="1:11">
      <c r="A182" s="5" t="str">
        <f t="shared" si="4"/>
        <v/>
      </c>
      <c r="B182" s="35"/>
      <c r="C182" s="27" t="str">
        <f>IFERROR(VLOOKUP(B182,Config!$B$7:$C$106,2,0),"")</f>
        <v/>
      </c>
      <c r="D182" s="35"/>
      <c r="E182" s="35"/>
      <c r="F182" s="36"/>
      <c r="G182" s="36"/>
      <c r="H182" s="5" t="str">
        <f t="shared" si="5"/>
        <v/>
      </c>
      <c r="I182" s="35"/>
      <c r="J182" s="36"/>
      <c r="K182" s="35"/>
    </row>
    <row r="183" spans="1:11">
      <c r="A183" s="5" t="str">
        <f t="shared" si="4"/>
        <v/>
      </c>
      <c r="B183" s="37"/>
      <c r="C183" s="27" t="str">
        <f>IFERROR(VLOOKUP(B183,Config!$B$7:$C$106,2,0),"")</f>
        <v/>
      </c>
      <c r="D183" s="37"/>
      <c r="E183" s="37"/>
      <c r="F183" s="38"/>
      <c r="G183" s="38"/>
      <c r="H183" s="5" t="str">
        <f t="shared" si="5"/>
        <v/>
      </c>
      <c r="I183" s="37"/>
      <c r="J183" s="38"/>
      <c r="K183" s="37"/>
    </row>
    <row r="184" spans="1:11">
      <c r="A184" s="5" t="str">
        <f t="shared" si="4"/>
        <v/>
      </c>
      <c r="B184" s="35"/>
      <c r="C184" s="27" t="str">
        <f>IFERROR(VLOOKUP(B184,Config!$B$7:$C$106,2,0),"")</f>
        <v/>
      </c>
      <c r="D184" s="35"/>
      <c r="E184" s="35"/>
      <c r="F184" s="36"/>
      <c r="G184" s="36"/>
      <c r="H184" s="5" t="str">
        <f t="shared" si="5"/>
        <v/>
      </c>
      <c r="I184" s="35"/>
      <c r="J184" s="36"/>
      <c r="K184" s="35"/>
    </row>
    <row r="185" spans="1:11">
      <c r="A185" s="5" t="str">
        <f t="shared" si="4"/>
        <v/>
      </c>
      <c r="B185" s="37"/>
      <c r="C185" s="27" t="str">
        <f>IFERROR(VLOOKUP(B185,Config!$B$7:$C$106,2,0),"")</f>
        <v/>
      </c>
      <c r="D185" s="37"/>
      <c r="E185" s="37"/>
      <c r="F185" s="38"/>
      <c r="G185" s="38"/>
      <c r="H185" s="5" t="str">
        <f t="shared" si="5"/>
        <v/>
      </c>
      <c r="I185" s="37"/>
      <c r="J185" s="38"/>
      <c r="K185" s="37"/>
    </row>
    <row r="186" spans="1:11">
      <c r="A186" s="5" t="str">
        <f t="shared" si="4"/>
        <v/>
      </c>
      <c r="B186" s="35"/>
      <c r="C186" s="27" t="str">
        <f>IFERROR(VLOOKUP(B186,Config!$B$7:$C$106,2,0),"")</f>
        <v/>
      </c>
      <c r="D186" s="35"/>
      <c r="E186" s="35"/>
      <c r="F186" s="36"/>
      <c r="G186" s="36"/>
      <c r="H186" s="5" t="str">
        <f t="shared" si="5"/>
        <v/>
      </c>
      <c r="I186" s="35"/>
      <c r="J186" s="36"/>
      <c r="K186" s="35"/>
    </row>
    <row r="187" spans="1:11">
      <c r="A187" s="5" t="str">
        <f t="shared" si="4"/>
        <v/>
      </c>
      <c r="B187" s="37"/>
      <c r="C187" s="27" t="str">
        <f>IFERROR(VLOOKUP(B187,Config!$B$7:$C$106,2,0),"")</f>
        <v/>
      </c>
      <c r="D187" s="37"/>
      <c r="E187" s="37"/>
      <c r="F187" s="38"/>
      <c r="G187" s="38"/>
      <c r="H187" s="5" t="str">
        <f t="shared" si="5"/>
        <v/>
      </c>
      <c r="I187" s="37"/>
      <c r="J187" s="38"/>
      <c r="K187" s="37"/>
    </row>
    <row r="188" spans="1:11">
      <c r="A188" s="5" t="str">
        <f t="shared" si="4"/>
        <v/>
      </c>
      <c r="B188" s="35"/>
      <c r="C188" s="27" t="str">
        <f>IFERROR(VLOOKUP(B188,Config!$B$7:$C$106,2,0),"")</f>
        <v/>
      </c>
      <c r="D188" s="35"/>
      <c r="E188" s="35"/>
      <c r="F188" s="36"/>
      <c r="G188" s="36"/>
      <c r="H188" s="5" t="str">
        <f t="shared" si="5"/>
        <v/>
      </c>
      <c r="I188" s="35"/>
      <c r="J188" s="36"/>
      <c r="K188" s="35"/>
    </row>
    <row r="189" spans="1:11">
      <c r="A189" s="5" t="str">
        <f t="shared" si="4"/>
        <v/>
      </c>
      <c r="B189" s="37"/>
      <c r="C189" s="27" t="str">
        <f>IFERROR(VLOOKUP(B189,Config!$B$7:$C$106,2,0),"")</f>
        <v/>
      </c>
      <c r="D189" s="37"/>
      <c r="E189" s="37"/>
      <c r="F189" s="38"/>
      <c r="G189" s="38"/>
      <c r="H189" s="5" t="str">
        <f t="shared" si="5"/>
        <v/>
      </c>
      <c r="I189" s="37"/>
      <c r="J189" s="38"/>
      <c r="K189" s="37"/>
    </row>
    <row r="190" spans="1:11">
      <c r="A190" s="5" t="str">
        <f t="shared" si="4"/>
        <v/>
      </c>
      <c r="B190" s="35"/>
      <c r="C190" s="27" t="str">
        <f>IFERROR(VLOOKUP(B190,Config!$B$7:$C$106,2,0),"")</f>
        <v/>
      </c>
      <c r="D190" s="35"/>
      <c r="E190" s="35"/>
      <c r="F190" s="36"/>
      <c r="G190" s="36"/>
      <c r="H190" s="5" t="str">
        <f t="shared" si="5"/>
        <v/>
      </c>
      <c r="I190" s="35"/>
      <c r="J190" s="36"/>
      <c r="K190" s="35"/>
    </row>
    <row r="191" spans="1:11">
      <c r="A191" s="5" t="str">
        <f t="shared" si="4"/>
        <v/>
      </c>
      <c r="B191" s="37"/>
      <c r="C191" s="27" t="str">
        <f>IFERROR(VLOOKUP(B191,Config!$B$7:$C$106,2,0),"")</f>
        <v/>
      </c>
      <c r="D191" s="37"/>
      <c r="E191" s="37"/>
      <c r="F191" s="38"/>
      <c r="G191" s="38"/>
      <c r="H191" s="5" t="str">
        <f t="shared" si="5"/>
        <v/>
      </c>
      <c r="I191" s="37"/>
      <c r="J191" s="38"/>
      <c r="K191" s="37"/>
    </row>
    <row r="192" spans="1:11">
      <c r="A192" s="5" t="str">
        <f t="shared" si="4"/>
        <v/>
      </c>
      <c r="B192" s="35"/>
      <c r="C192" s="27" t="str">
        <f>IFERROR(VLOOKUP(B192,Config!$B$7:$C$106,2,0),"")</f>
        <v/>
      </c>
      <c r="D192" s="35"/>
      <c r="E192" s="35"/>
      <c r="F192" s="36"/>
      <c r="G192" s="36"/>
      <c r="H192" s="5" t="str">
        <f t="shared" si="5"/>
        <v/>
      </c>
      <c r="I192" s="35"/>
      <c r="J192" s="36"/>
      <c r="K192" s="35"/>
    </row>
    <row r="193" spans="1:11">
      <c r="A193" s="5" t="str">
        <f t="shared" si="4"/>
        <v/>
      </c>
      <c r="B193" s="37"/>
      <c r="C193" s="27" t="str">
        <f>IFERROR(VLOOKUP(B193,Config!$B$7:$C$106,2,0),"")</f>
        <v/>
      </c>
      <c r="D193" s="37"/>
      <c r="E193" s="37"/>
      <c r="F193" s="38"/>
      <c r="G193" s="38"/>
      <c r="H193" s="5" t="str">
        <f t="shared" si="5"/>
        <v/>
      </c>
      <c r="I193" s="37"/>
      <c r="J193" s="38"/>
      <c r="K193" s="37"/>
    </row>
    <row r="194" spans="1:11">
      <c r="A194" s="5" t="str">
        <f t="shared" si="4"/>
        <v/>
      </c>
      <c r="B194" s="35"/>
      <c r="C194" s="27" t="str">
        <f>IFERROR(VLOOKUP(B194,Config!$B$7:$C$106,2,0),"")</f>
        <v/>
      </c>
      <c r="D194" s="35"/>
      <c r="E194" s="35"/>
      <c r="F194" s="36"/>
      <c r="G194" s="36"/>
      <c r="H194" s="5" t="str">
        <f t="shared" si="5"/>
        <v/>
      </c>
      <c r="I194" s="35"/>
      <c r="J194" s="36"/>
      <c r="K194" s="35"/>
    </row>
    <row r="195" spans="1:11">
      <c r="A195" s="5" t="str">
        <f t="shared" si="4"/>
        <v/>
      </c>
      <c r="B195" s="37"/>
      <c r="C195" s="27" t="str">
        <f>IFERROR(VLOOKUP(B195,Config!$B$7:$C$106,2,0),"")</f>
        <v/>
      </c>
      <c r="D195" s="37"/>
      <c r="E195" s="37"/>
      <c r="F195" s="38"/>
      <c r="G195" s="38"/>
      <c r="H195" s="5" t="str">
        <f t="shared" si="5"/>
        <v/>
      </c>
      <c r="I195" s="37"/>
      <c r="J195" s="38"/>
      <c r="K195" s="37"/>
    </row>
    <row r="196" spans="1:11">
      <c r="A196" s="5" t="str">
        <f t="shared" ref="A196:A259" si="6">IF(B196="","",ROW()-3)</f>
        <v/>
      </c>
      <c r="B196" s="35"/>
      <c r="C196" s="27" t="str">
        <f>IFERROR(VLOOKUP(B196,Config!$B$7:$C$106,2,0),"")</f>
        <v/>
      </c>
      <c r="D196" s="35"/>
      <c r="E196" s="35"/>
      <c r="F196" s="36"/>
      <c r="G196" s="36"/>
      <c r="H196" s="5" t="str">
        <f t="shared" ref="H196:H259" si="7">IF(F196="","",TEXT(F196,"MMMM YYYY"))</f>
        <v/>
      </c>
      <c r="I196" s="35"/>
      <c r="J196" s="36"/>
      <c r="K196" s="35"/>
    </row>
    <row r="197" spans="1:11">
      <c r="A197" s="5" t="str">
        <f t="shared" si="6"/>
        <v/>
      </c>
      <c r="B197" s="37"/>
      <c r="C197" s="27" t="str">
        <f>IFERROR(VLOOKUP(B197,Config!$B$7:$C$106,2,0),"")</f>
        <v/>
      </c>
      <c r="D197" s="37"/>
      <c r="E197" s="37"/>
      <c r="F197" s="38"/>
      <c r="G197" s="38"/>
      <c r="H197" s="5" t="str">
        <f t="shared" si="7"/>
        <v/>
      </c>
      <c r="I197" s="37"/>
      <c r="J197" s="38"/>
      <c r="K197" s="37"/>
    </row>
    <row r="198" spans="1:11">
      <c r="A198" s="5" t="str">
        <f t="shared" si="6"/>
        <v/>
      </c>
      <c r="B198" s="35"/>
      <c r="C198" s="27" t="str">
        <f>IFERROR(VLOOKUP(B198,Config!$B$7:$C$106,2,0),"")</f>
        <v/>
      </c>
      <c r="D198" s="35"/>
      <c r="E198" s="35"/>
      <c r="F198" s="36"/>
      <c r="G198" s="36"/>
      <c r="H198" s="5" t="str">
        <f t="shared" si="7"/>
        <v/>
      </c>
      <c r="I198" s="35"/>
      <c r="J198" s="36"/>
      <c r="K198" s="35"/>
    </row>
    <row r="199" spans="1:11">
      <c r="A199" s="5" t="str">
        <f t="shared" si="6"/>
        <v/>
      </c>
      <c r="B199" s="37"/>
      <c r="C199" s="27" t="str">
        <f>IFERROR(VLOOKUP(B199,Config!$B$7:$C$106,2,0),"")</f>
        <v/>
      </c>
      <c r="D199" s="37"/>
      <c r="E199" s="37"/>
      <c r="F199" s="38"/>
      <c r="G199" s="38"/>
      <c r="H199" s="5" t="str">
        <f t="shared" si="7"/>
        <v/>
      </c>
      <c r="I199" s="37"/>
      <c r="J199" s="38"/>
      <c r="K199" s="37"/>
    </row>
    <row r="200" spans="1:11">
      <c r="A200" s="5" t="str">
        <f t="shared" si="6"/>
        <v/>
      </c>
      <c r="B200" s="35"/>
      <c r="C200" s="27" t="str">
        <f>IFERROR(VLOOKUP(B200,Config!$B$7:$C$106,2,0),"")</f>
        <v/>
      </c>
      <c r="D200" s="35"/>
      <c r="E200" s="35"/>
      <c r="F200" s="36"/>
      <c r="G200" s="36"/>
      <c r="H200" s="5" t="str">
        <f t="shared" si="7"/>
        <v/>
      </c>
      <c r="I200" s="35"/>
      <c r="J200" s="36"/>
      <c r="K200" s="35"/>
    </row>
    <row r="201" spans="1:11">
      <c r="A201" s="5" t="str">
        <f t="shared" si="6"/>
        <v/>
      </c>
      <c r="B201" s="37"/>
      <c r="C201" s="27" t="str">
        <f>IFERROR(VLOOKUP(B201,Config!$B$7:$C$106,2,0),"")</f>
        <v/>
      </c>
      <c r="D201" s="37"/>
      <c r="E201" s="37"/>
      <c r="F201" s="38"/>
      <c r="G201" s="38"/>
      <c r="H201" s="5" t="str">
        <f t="shared" si="7"/>
        <v/>
      </c>
      <c r="I201" s="37"/>
      <c r="J201" s="38"/>
      <c r="K201" s="37"/>
    </row>
    <row r="202" spans="1:11">
      <c r="A202" s="5" t="str">
        <f t="shared" si="6"/>
        <v/>
      </c>
      <c r="B202" s="35"/>
      <c r="C202" s="27" t="str">
        <f>IFERROR(VLOOKUP(B202,Config!$B$7:$C$106,2,0),"")</f>
        <v/>
      </c>
      <c r="D202" s="35"/>
      <c r="E202" s="35"/>
      <c r="F202" s="36"/>
      <c r="G202" s="36"/>
      <c r="H202" s="5" t="str">
        <f t="shared" si="7"/>
        <v/>
      </c>
      <c r="I202" s="35"/>
      <c r="J202" s="36"/>
      <c r="K202" s="35"/>
    </row>
    <row r="203" spans="1:11">
      <c r="A203" s="5" t="str">
        <f t="shared" si="6"/>
        <v/>
      </c>
      <c r="B203" s="37"/>
      <c r="C203" s="27" t="str">
        <f>IFERROR(VLOOKUP(B203,Config!$B$7:$C$106,2,0),"")</f>
        <v/>
      </c>
      <c r="D203" s="37"/>
      <c r="E203" s="37"/>
      <c r="F203" s="38"/>
      <c r="G203" s="38"/>
      <c r="H203" s="5" t="str">
        <f t="shared" si="7"/>
        <v/>
      </c>
      <c r="I203" s="37"/>
      <c r="J203" s="38"/>
      <c r="K203" s="37"/>
    </row>
    <row r="204" spans="1:11">
      <c r="A204" s="5" t="str">
        <f t="shared" si="6"/>
        <v/>
      </c>
      <c r="B204" s="35"/>
      <c r="C204" s="27" t="str">
        <f>IFERROR(VLOOKUP(B204,Config!$B$7:$C$106,2,0),"")</f>
        <v/>
      </c>
      <c r="D204" s="35"/>
      <c r="E204" s="35"/>
      <c r="F204" s="36"/>
      <c r="G204" s="36"/>
      <c r="H204" s="5" t="str">
        <f t="shared" si="7"/>
        <v/>
      </c>
      <c r="I204" s="35"/>
      <c r="J204" s="36"/>
      <c r="K204" s="35"/>
    </row>
    <row r="205" spans="1:11">
      <c r="A205" s="5" t="str">
        <f t="shared" si="6"/>
        <v/>
      </c>
      <c r="B205" s="37"/>
      <c r="C205" s="27" t="str">
        <f>IFERROR(VLOOKUP(B205,Config!$B$7:$C$106,2,0),"")</f>
        <v/>
      </c>
      <c r="D205" s="37"/>
      <c r="E205" s="37"/>
      <c r="F205" s="38"/>
      <c r="G205" s="38"/>
      <c r="H205" s="5" t="str">
        <f t="shared" si="7"/>
        <v/>
      </c>
      <c r="I205" s="37"/>
      <c r="J205" s="38"/>
      <c r="K205" s="37"/>
    </row>
    <row r="206" spans="1:11">
      <c r="A206" s="5" t="str">
        <f t="shared" si="6"/>
        <v/>
      </c>
      <c r="B206" s="35"/>
      <c r="C206" s="27" t="str">
        <f>IFERROR(VLOOKUP(B206,Config!$B$7:$C$106,2,0),"")</f>
        <v/>
      </c>
      <c r="D206" s="35"/>
      <c r="E206" s="35"/>
      <c r="F206" s="36"/>
      <c r="G206" s="36"/>
      <c r="H206" s="5" t="str">
        <f t="shared" si="7"/>
        <v/>
      </c>
      <c r="I206" s="35"/>
      <c r="J206" s="36"/>
      <c r="K206" s="35"/>
    </row>
    <row r="207" spans="1:11">
      <c r="A207" s="5" t="str">
        <f t="shared" si="6"/>
        <v/>
      </c>
      <c r="B207" s="37"/>
      <c r="C207" s="27" t="str">
        <f>IFERROR(VLOOKUP(B207,Config!$B$7:$C$106,2,0),"")</f>
        <v/>
      </c>
      <c r="D207" s="37"/>
      <c r="E207" s="37"/>
      <c r="F207" s="38"/>
      <c r="G207" s="38"/>
      <c r="H207" s="5" t="str">
        <f t="shared" si="7"/>
        <v/>
      </c>
      <c r="I207" s="37"/>
      <c r="J207" s="38"/>
      <c r="K207" s="37"/>
    </row>
    <row r="208" spans="1:11">
      <c r="A208" s="5" t="str">
        <f t="shared" si="6"/>
        <v/>
      </c>
      <c r="B208" s="35"/>
      <c r="C208" s="27" t="str">
        <f>IFERROR(VLOOKUP(B208,Config!$B$7:$C$106,2,0),"")</f>
        <v/>
      </c>
      <c r="D208" s="35"/>
      <c r="E208" s="35"/>
      <c r="F208" s="36"/>
      <c r="G208" s="36"/>
      <c r="H208" s="5" t="str">
        <f t="shared" si="7"/>
        <v/>
      </c>
      <c r="I208" s="35"/>
      <c r="J208" s="36"/>
      <c r="K208" s="35"/>
    </row>
    <row r="209" spans="1:11">
      <c r="A209" s="5" t="str">
        <f t="shared" si="6"/>
        <v/>
      </c>
      <c r="B209" s="37"/>
      <c r="C209" s="27" t="str">
        <f>IFERROR(VLOOKUP(B209,Config!$B$7:$C$106,2,0),"")</f>
        <v/>
      </c>
      <c r="D209" s="37"/>
      <c r="E209" s="37"/>
      <c r="F209" s="38"/>
      <c r="G209" s="38"/>
      <c r="H209" s="5" t="str">
        <f t="shared" si="7"/>
        <v/>
      </c>
      <c r="I209" s="37"/>
      <c r="J209" s="38"/>
      <c r="K209" s="37"/>
    </row>
    <row r="210" spans="1:11">
      <c r="A210" s="5" t="str">
        <f t="shared" si="6"/>
        <v/>
      </c>
      <c r="B210" s="35"/>
      <c r="C210" s="27" t="str">
        <f>IFERROR(VLOOKUP(B210,Config!$B$7:$C$106,2,0),"")</f>
        <v/>
      </c>
      <c r="D210" s="35"/>
      <c r="E210" s="35"/>
      <c r="F210" s="36"/>
      <c r="G210" s="36"/>
      <c r="H210" s="5" t="str">
        <f t="shared" si="7"/>
        <v/>
      </c>
      <c r="I210" s="35"/>
      <c r="J210" s="36"/>
      <c r="K210" s="35"/>
    </row>
    <row r="211" spans="1:11">
      <c r="A211" s="5" t="str">
        <f t="shared" si="6"/>
        <v/>
      </c>
      <c r="B211" s="37"/>
      <c r="C211" s="27" t="str">
        <f>IFERROR(VLOOKUP(B211,Config!$B$7:$C$106,2,0),"")</f>
        <v/>
      </c>
      <c r="D211" s="37"/>
      <c r="E211" s="37"/>
      <c r="F211" s="38"/>
      <c r="G211" s="38"/>
      <c r="H211" s="5" t="str">
        <f t="shared" si="7"/>
        <v/>
      </c>
      <c r="I211" s="37"/>
      <c r="J211" s="38"/>
      <c r="K211" s="37"/>
    </row>
    <row r="212" spans="1:11">
      <c r="A212" s="5" t="str">
        <f t="shared" si="6"/>
        <v/>
      </c>
      <c r="B212" s="35"/>
      <c r="C212" s="27" t="str">
        <f>IFERROR(VLOOKUP(B212,Config!$B$7:$C$106,2,0),"")</f>
        <v/>
      </c>
      <c r="D212" s="35"/>
      <c r="E212" s="35"/>
      <c r="F212" s="36"/>
      <c r="G212" s="36"/>
      <c r="H212" s="5" t="str">
        <f t="shared" si="7"/>
        <v/>
      </c>
      <c r="I212" s="35"/>
      <c r="J212" s="36"/>
      <c r="K212" s="35"/>
    </row>
    <row r="213" spans="1:11">
      <c r="A213" s="5" t="str">
        <f t="shared" si="6"/>
        <v/>
      </c>
      <c r="B213" s="37"/>
      <c r="C213" s="27" t="str">
        <f>IFERROR(VLOOKUP(B213,Config!$B$7:$C$106,2,0),"")</f>
        <v/>
      </c>
      <c r="D213" s="37"/>
      <c r="E213" s="37"/>
      <c r="F213" s="38"/>
      <c r="G213" s="38"/>
      <c r="H213" s="5" t="str">
        <f t="shared" si="7"/>
        <v/>
      </c>
      <c r="I213" s="37"/>
      <c r="J213" s="38"/>
      <c r="K213" s="37"/>
    </row>
    <row r="214" spans="1:11">
      <c r="A214" s="5" t="str">
        <f t="shared" si="6"/>
        <v/>
      </c>
      <c r="B214" s="35"/>
      <c r="C214" s="27" t="str">
        <f>IFERROR(VLOOKUP(B214,Config!$B$7:$C$106,2,0),"")</f>
        <v/>
      </c>
      <c r="D214" s="35"/>
      <c r="E214" s="35"/>
      <c r="F214" s="36"/>
      <c r="G214" s="36"/>
      <c r="H214" s="5" t="str">
        <f t="shared" si="7"/>
        <v/>
      </c>
      <c r="I214" s="35"/>
      <c r="J214" s="36"/>
      <c r="K214" s="35"/>
    </row>
    <row r="215" spans="1:11">
      <c r="A215" s="5" t="str">
        <f t="shared" si="6"/>
        <v/>
      </c>
      <c r="B215" s="37"/>
      <c r="C215" s="27" t="str">
        <f>IFERROR(VLOOKUP(B215,Config!$B$7:$C$106,2,0),"")</f>
        <v/>
      </c>
      <c r="D215" s="37"/>
      <c r="E215" s="37"/>
      <c r="F215" s="38"/>
      <c r="G215" s="38"/>
      <c r="H215" s="5" t="str">
        <f t="shared" si="7"/>
        <v/>
      </c>
      <c r="I215" s="37"/>
      <c r="J215" s="38"/>
      <c r="K215" s="37"/>
    </row>
    <row r="216" spans="1:11">
      <c r="A216" s="5" t="str">
        <f t="shared" si="6"/>
        <v/>
      </c>
      <c r="B216" s="35"/>
      <c r="C216" s="27" t="str">
        <f>IFERROR(VLOOKUP(B216,Config!$B$7:$C$106,2,0),"")</f>
        <v/>
      </c>
      <c r="D216" s="35"/>
      <c r="E216" s="35"/>
      <c r="F216" s="36"/>
      <c r="G216" s="36"/>
      <c r="H216" s="5" t="str">
        <f t="shared" si="7"/>
        <v/>
      </c>
      <c r="I216" s="35"/>
      <c r="J216" s="36"/>
      <c r="K216" s="35"/>
    </row>
    <row r="217" spans="1:11">
      <c r="A217" s="5" t="str">
        <f t="shared" si="6"/>
        <v/>
      </c>
      <c r="B217" s="37"/>
      <c r="C217" s="27" t="str">
        <f>IFERROR(VLOOKUP(B217,Config!$B$7:$C$106,2,0),"")</f>
        <v/>
      </c>
      <c r="D217" s="37"/>
      <c r="E217" s="37"/>
      <c r="F217" s="38"/>
      <c r="G217" s="38"/>
      <c r="H217" s="5" t="str">
        <f t="shared" si="7"/>
        <v/>
      </c>
      <c r="I217" s="37"/>
      <c r="J217" s="38"/>
      <c r="K217" s="37"/>
    </row>
    <row r="218" spans="1:11">
      <c r="A218" s="5" t="str">
        <f t="shared" si="6"/>
        <v/>
      </c>
      <c r="B218" s="35"/>
      <c r="C218" s="27" t="str">
        <f>IFERROR(VLOOKUP(B218,Config!$B$7:$C$106,2,0),"")</f>
        <v/>
      </c>
      <c r="D218" s="35"/>
      <c r="E218" s="35"/>
      <c r="F218" s="36"/>
      <c r="G218" s="36"/>
      <c r="H218" s="5" t="str">
        <f t="shared" si="7"/>
        <v/>
      </c>
      <c r="I218" s="35"/>
      <c r="J218" s="36"/>
      <c r="K218" s="35"/>
    </row>
    <row r="219" spans="1:11">
      <c r="A219" s="5" t="str">
        <f t="shared" si="6"/>
        <v/>
      </c>
      <c r="B219" s="37"/>
      <c r="C219" s="27" t="str">
        <f>IFERROR(VLOOKUP(B219,Config!$B$7:$C$106,2,0),"")</f>
        <v/>
      </c>
      <c r="D219" s="37"/>
      <c r="E219" s="37"/>
      <c r="F219" s="38"/>
      <c r="G219" s="38"/>
      <c r="H219" s="5" t="str">
        <f t="shared" si="7"/>
        <v/>
      </c>
      <c r="I219" s="37"/>
      <c r="J219" s="38"/>
      <c r="K219" s="37"/>
    </row>
    <row r="220" spans="1:11">
      <c r="A220" s="5" t="str">
        <f t="shared" si="6"/>
        <v/>
      </c>
      <c r="B220" s="35"/>
      <c r="C220" s="27" t="str">
        <f>IFERROR(VLOOKUP(B220,Config!$B$7:$C$106,2,0),"")</f>
        <v/>
      </c>
      <c r="D220" s="35"/>
      <c r="E220" s="35"/>
      <c r="F220" s="36"/>
      <c r="G220" s="36"/>
      <c r="H220" s="5" t="str">
        <f t="shared" si="7"/>
        <v/>
      </c>
      <c r="I220" s="35"/>
      <c r="J220" s="36"/>
      <c r="K220" s="35"/>
    </row>
    <row r="221" spans="1:11">
      <c r="A221" s="5" t="str">
        <f t="shared" si="6"/>
        <v/>
      </c>
      <c r="B221" s="37"/>
      <c r="C221" s="27" t="str">
        <f>IFERROR(VLOOKUP(B221,Config!$B$7:$C$106,2,0),"")</f>
        <v/>
      </c>
      <c r="D221" s="37"/>
      <c r="E221" s="37"/>
      <c r="F221" s="38"/>
      <c r="G221" s="38"/>
      <c r="H221" s="5" t="str">
        <f t="shared" si="7"/>
        <v/>
      </c>
      <c r="I221" s="37"/>
      <c r="J221" s="38"/>
      <c r="K221" s="37"/>
    </row>
    <row r="222" spans="1:11">
      <c r="A222" s="5" t="str">
        <f t="shared" si="6"/>
        <v/>
      </c>
      <c r="B222" s="35"/>
      <c r="C222" s="27" t="str">
        <f>IFERROR(VLOOKUP(B222,Config!$B$7:$C$106,2,0),"")</f>
        <v/>
      </c>
      <c r="D222" s="35"/>
      <c r="E222" s="35"/>
      <c r="F222" s="36"/>
      <c r="G222" s="36"/>
      <c r="H222" s="5" t="str">
        <f t="shared" si="7"/>
        <v/>
      </c>
      <c r="I222" s="35"/>
      <c r="J222" s="36"/>
      <c r="K222" s="35"/>
    </row>
    <row r="223" spans="1:11">
      <c r="A223" s="5" t="str">
        <f t="shared" si="6"/>
        <v/>
      </c>
      <c r="B223" s="37"/>
      <c r="C223" s="27" t="str">
        <f>IFERROR(VLOOKUP(B223,Config!$B$7:$C$106,2,0),"")</f>
        <v/>
      </c>
      <c r="D223" s="37"/>
      <c r="E223" s="37"/>
      <c r="F223" s="38"/>
      <c r="G223" s="38"/>
      <c r="H223" s="5" t="str">
        <f t="shared" si="7"/>
        <v/>
      </c>
      <c r="I223" s="37"/>
      <c r="J223" s="38"/>
      <c r="K223" s="37"/>
    </row>
    <row r="224" spans="1:11">
      <c r="A224" s="5" t="str">
        <f t="shared" si="6"/>
        <v/>
      </c>
      <c r="B224" s="35"/>
      <c r="C224" s="27" t="str">
        <f>IFERROR(VLOOKUP(B224,Config!$B$7:$C$106,2,0),"")</f>
        <v/>
      </c>
      <c r="D224" s="35"/>
      <c r="E224" s="35"/>
      <c r="F224" s="36"/>
      <c r="G224" s="36"/>
      <c r="H224" s="5" t="str">
        <f t="shared" si="7"/>
        <v/>
      </c>
      <c r="I224" s="35"/>
      <c r="J224" s="36"/>
      <c r="K224" s="35"/>
    </row>
    <row r="225" spans="1:11">
      <c r="A225" s="5" t="str">
        <f t="shared" si="6"/>
        <v/>
      </c>
      <c r="B225" s="37"/>
      <c r="C225" s="27" t="str">
        <f>IFERROR(VLOOKUP(B225,Config!$B$7:$C$106,2,0),"")</f>
        <v/>
      </c>
      <c r="D225" s="37"/>
      <c r="E225" s="37"/>
      <c r="F225" s="38"/>
      <c r="G225" s="38"/>
      <c r="H225" s="5" t="str">
        <f t="shared" si="7"/>
        <v/>
      </c>
      <c r="I225" s="37"/>
      <c r="J225" s="38"/>
      <c r="K225" s="37"/>
    </row>
    <row r="226" spans="1:11">
      <c r="A226" s="5" t="str">
        <f t="shared" si="6"/>
        <v/>
      </c>
      <c r="B226" s="35"/>
      <c r="C226" s="27" t="str">
        <f>IFERROR(VLOOKUP(B226,Config!$B$7:$C$106,2,0),"")</f>
        <v/>
      </c>
      <c r="D226" s="35"/>
      <c r="E226" s="35"/>
      <c r="F226" s="36"/>
      <c r="G226" s="36"/>
      <c r="H226" s="5" t="str">
        <f t="shared" si="7"/>
        <v/>
      </c>
      <c r="I226" s="35"/>
      <c r="J226" s="36"/>
      <c r="K226" s="35"/>
    </row>
    <row r="227" spans="1:11">
      <c r="A227" s="5" t="str">
        <f t="shared" si="6"/>
        <v/>
      </c>
      <c r="B227" s="37"/>
      <c r="C227" s="27" t="str">
        <f>IFERROR(VLOOKUP(B227,Config!$B$7:$C$106,2,0),"")</f>
        <v/>
      </c>
      <c r="D227" s="37"/>
      <c r="E227" s="37"/>
      <c r="F227" s="38"/>
      <c r="G227" s="38"/>
      <c r="H227" s="5" t="str">
        <f t="shared" si="7"/>
        <v/>
      </c>
      <c r="I227" s="37"/>
      <c r="J227" s="38"/>
      <c r="K227" s="37"/>
    </row>
    <row r="228" spans="1:11">
      <c r="A228" s="5" t="str">
        <f t="shared" si="6"/>
        <v/>
      </c>
      <c r="B228" s="35"/>
      <c r="C228" s="27" t="str">
        <f>IFERROR(VLOOKUP(B228,Config!$B$7:$C$106,2,0),"")</f>
        <v/>
      </c>
      <c r="D228" s="35"/>
      <c r="E228" s="35"/>
      <c r="F228" s="36"/>
      <c r="G228" s="36"/>
      <c r="H228" s="5" t="str">
        <f t="shared" si="7"/>
        <v/>
      </c>
      <c r="I228" s="35"/>
      <c r="J228" s="36"/>
      <c r="K228" s="35"/>
    </row>
    <row r="229" spans="1:11">
      <c r="A229" s="5" t="str">
        <f t="shared" si="6"/>
        <v/>
      </c>
      <c r="B229" s="37"/>
      <c r="C229" s="27" t="str">
        <f>IFERROR(VLOOKUP(B229,Config!$B$7:$C$106,2,0),"")</f>
        <v/>
      </c>
      <c r="D229" s="37"/>
      <c r="E229" s="37"/>
      <c r="F229" s="38"/>
      <c r="G229" s="38"/>
      <c r="H229" s="5" t="str">
        <f t="shared" si="7"/>
        <v/>
      </c>
      <c r="I229" s="37"/>
      <c r="J229" s="38"/>
      <c r="K229" s="37"/>
    </row>
    <row r="230" spans="1:11">
      <c r="A230" s="5" t="str">
        <f t="shared" si="6"/>
        <v/>
      </c>
      <c r="B230" s="35"/>
      <c r="C230" s="27" t="str">
        <f>IFERROR(VLOOKUP(B230,Config!$B$7:$C$106,2,0),"")</f>
        <v/>
      </c>
      <c r="D230" s="35"/>
      <c r="E230" s="35"/>
      <c r="F230" s="36"/>
      <c r="G230" s="36"/>
      <c r="H230" s="5" t="str">
        <f t="shared" si="7"/>
        <v/>
      </c>
      <c r="I230" s="35"/>
      <c r="J230" s="36"/>
      <c r="K230" s="35"/>
    </row>
    <row r="231" spans="1:11">
      <c r="A231" s="5" t="str">
        <f t="shared" si="6"/>
        <v/>
      </c>
      <c r="B231" s="37"/>
      <c r="C231" s="27" t="str">
        <f>IFERROR(VLOOKUP(B231,Config!$B$7:$C$106,2,0),"")</f>
        <v/>
      </c>
      <c r="D231" s="37"/>
      <c r="E231" s="37"/>
      <c r="F231" s="38"/>
      <c r="G231" s="38"/>
      <c r="H231" s="5" t="str">
        <f t="shared" si="7"/>
        <v/>
      </c>
      <c r="I231" s="37"/>
      <c r="J231" s="38"/>
      <c r="K231" s="37"/>
    </row>
    <row r="232" spans="1:11">
      <c r="A232" s="5" t="str">
        <f t="shared" si="6"/>
        <v/>
      </c>
      <c r="B232" s="35"/>
      <c r="C232" s="27" t="str">
        <f>IFERROR(VLOOKUP(B232,Config!$B$7:$C$106,2,0),"")</f>
        <v/>
      </c>
      <c r="D232" s="35"/>
      <c r="E232" s="35"/>
      <c r="F232" s="36"/>
      <c r="G232" s="36"/>
      <c r="H232" s="5" t="str">
        <f t="shared" si="7"/>
        <v/>
      </c>
      <c r="I232" s="35"/>
      <c r="J232" s="36"/>
      <c r="K232" s="35"/>
    </row>
    <row r="233" spans="1:11">
      <c r="A233" s="5" t="str">
        <f t="shared" si="6"/>
        <v/>
      </c>
      <c r="B233" s="37"/>
      <c r="C233" s="27" t="str">
        <f>IFERROR(VLOOKUP(B233,Config!$B$7:$C$106,2,0),"")</f>
        <v/>
      </c>
      <c r="D233" s="37"/>
      <c r="E233" s="37"/>
      <c r="F233" s="38"/>
      <c r="G233" s="38"/>
      <c r="H233" s="5" t="str">
        <f t="shared" si="7"/>
        <v/>
      </c>
      <c r="I233" s="37"/>
      <c r="J233" s="38"/>
      <c r="K233" s="37"/>
    </row>
    <row r="234" spans="1:11">
      <c r="A234" s="5" t="str">
        <f t="shared" si="6"/>
        <v/>
      </c>
      <c r="B234" s="35"/>
      <c r="C234" s="27" t="str">
        <f>IFERROR(VLOOKUP(B234,Config!$B$7:$C$106,2,0),"")</f>
        <v/>
      </c>
      <c r="D234" s="35"/>
      <c r="E234" s="35"/>
      <c r="F234" s="36"/>
      <c r="G234" s="36"/>
      <c r="H234" s="5" t="str">
        <f t="shared" si="7"/>
        <v/>
      </c>
      <c r="I234" s="35"/>
      <c r="J234" s="36"/>
      <c r="K234" s="35"/>
    </row>
    <row r="235" spans="1:11">
      <c r="A235" s="5" t="str">
        <f t="shared" si="6"/>
        <v/>
      </c>
      <c r="B235" s="37"/>
      <c r="C235" s="27" t="str">
        <f>IFERROR(VLOOKUP(B235,Config!$B$7:$C$106,2,0),"")</f>
        <v/>
      </c>
      <c r="D235" s="37"/>
      <c r="E235" s="37"/>
      <c r="F235" s="38"/>
      <c r="G235" s="38"/>
      <c r="H235" s="5" t="str">
        <f t="shared" si="7"/>
        <v/>
      </c>
      <c r="I235" s="37"/>
      <c r="J235" s="38"/>
      <c r="K235" s="37"/>
    </row>
    <row r="236" spans="1:11">
      <c r="A236" s="5" t="str">
        <f t="shared" si="6"/>
        <v/>
      </c>
      <c r="B236" s="35"/>
      <c r="C236" s="27" t="str">
        <f>IFERROR(VLOOKUP(B236,Config!$B$7:$C$106,2,0),"")</f>
        <v/>
      </c>
      <c r="D236" s="35"/>
      <c r="E236" s="35"/>
      <c r="F236" s="36"/>
      <c r="G236" s="36"/>
      <c r="H236" s="5" t="str">
        <f t="shared" si="7"/>
        <v/>
      </c>
      <c r="I236" s="35"/>
      <c r="J236" s="36"/>
      <c r="K236" s="35"/>
    </row>
    <row r="237" spans="1:11">
      <c r="A237" s="5" t="str">
        <f t="shared" si="6"/>
        <v/>
      </c>
      <c r="B237" s="37"/>
      <c r="C237" s="27" t="str">
        <f>IFERROR(VLOOKUP(B237,Config!$B$7:$C$106,2,0),"")</f>
        <v/>
      </c>
      <c r="D237" s="37"/>
      <c r="E237" s="37"/>
      <c r="F237" s="38"/>
      <c r="G237" s="38"/>
      <c r="H237" s="5" t="str">
        <f t="shared" si="7"/>
        <v/>
      </c>
      <c r="I237" s="37"/>
      <c r="J237" s="38"/>
      <c r="K237" s="37"/>
    </row>
    <row r="238" spans="1:11">
      <c r="A238" s="5" t="str">
        <f t="shared" si="6"/>
        <v/>
      </c>
      <c r="B238" s="35"/>
      <c r="C238" s="27" t="str">
        <f>IFERROR(VLOOKUP(B238,Config!$B$7:$C$106,2,0),"")</f>
        <v/>
      </c>
      <c r="D238" s="35"/>
      <c r="E238" s="35"/>
      <c r="F238" s="36"/>
      <c r="G238" s="36"/>
      <c r="H238" s="5" t="str">
        <f t="shared" si="7"/>
        <v/>
      </c>
      <c r="I238" s="35"/>
      <c r="J238" s="36"/>
      <c r="K238" s="35"/>
    </row>
    <row r="239" spans="1:11">
      <c r="A239" s="5" t="str">
        <f t="shared" si="6"/>
        <v/>
      </c>
      <c r="B239" s="37"/>
      <c r="C239" s="27" t="str">
        <f>IFERROR(VLOOKUP(B239,Config!$B$7:$C$106,2,0),"")</f>
        <v/>
      </c>
      <c r="D239" s="37"/>
      <c r="E239" s="37"/>
      <c r="F239" s="38"/>
      <c r="G239" s="38"/>
      <c r="H239" s="5" t="str">
        <f t="shared" si="7"/>
        <v/>
      </c>
      <c r="I239" s="37"/>
      <c r="J239" s="38"/>
      <c r="K239" s="37"/>
    </row>
    <row r="240" spans="1:11">
      <c r="A240" s="5" t="str">
        <f t="shared" si="6"/>
        <v/>
      </c>
      <c r="B240" s="35"/>
      <c r="C240" s="27" t="str">
        <f>IFERROR(VLOOKUP(B240,Config!$B$7:$C$106,2,0),"")</f>
        <v/>
      </c>
      <c r="D240" s="35"/>
      <c r="E240" s="35"/>
      <c r="F240" s="36"/>
      <c r="G240" s="36"/>
      <c r="H240" s="5" t="str">
        <f t="shared" si="7"/>
        <v/>
      </c>
      <c r="I240" s="35"/>
      <c r="J240" s="36"/>
      <c r="K240" s="35"/>
    </row>
    <row r="241" spans="1:11">
      <c r="A241" s="5" t="str">
        <f t="shared" si="6"/>
        <v/>
      </c>
      <c r="B241" s="37"/>
      <c r="C241" s="27" t="str">
        <f>IFERROR(VLOOKUP(B241,Config!$B$7:$C$106,2,0),"")</f>
        <v/>
      </c>
      <c r="D241" s="37"/>
      <c r="E241" s="37"/>
      <c r="F241" s="38"/>
      <c r="G241" s="38"/>
      <c r="H241" s="5" t="str">
        <f t="shared" si="7"/>
        <v/>
      </c>
      <c r="I241" s="37"/>
      <c r="J241" s="38"/>
      <c r="K241" s="37"/>
    </row>
    <row r="242" spans="1:11">
      <c r="A242" s="5" t="str">
        <f t="shared" si="6"/>
        <v/>
      </c>
      <c r="B242" s="35"/>
      <c r="C242" s="27" t="str">
        <f>IFERROR(VLOOKUP(B242,Config!$B$7:$C$106,2,0),"")</f>
        <v/>
      </c>
      <c r="D242" s="35"/>
      <c r="E242" s="35"/>
      <c r="F242" s="36"/>
      <c r="G242" s="36"/>
      <c r="H242" s="5" t="str">
        <f t="shared" si="7"/>
        <v/>
      </c>
      <c r="I242" s="35"/>
      <c r="J242" s="36"/>
      <c r="K242" s="35"/>
    </row>
    <row r="243" spans="1:11">
      <c r="A243" s="5" t="str">
        <f t="shared" si="6"/>
        <v/>
      </c>
      <c r="B243" s="37"/>
      <c r="C243" s="27" t="str">
        <f>IFERROR(VLOOKUP(B243,Config!$B$7:$C$106,2,0),"")</f>
        <v/>
      </c>
      <c r="D243" s="37"/>
      <c r="E243" s="37"/>
      <c r="F243" s="38"/>
      <c r="G243" s="38"/>
      <c r="H243" s="5" t="str">
        <f t="shared" si="7"/>
        <v/>
      </c>
      <c r="I243" s="37"/>
      <c r="J243" s="38"/>
      <c r="K243" s="37"/>
    </row>
    <row r="244" spans="1:11">
      <c r="A244" s="5" t="str">
        <f t="shared" si="6"/>
        <v/>
      </c>
      <c r="B244" s="35"/>
      <c r="C244" s="27" t="str">
        <f>IFERROR(VLOOKUP(B244,Config!$B$7:$C$106,2,0),"")</f>
        <v/>
      </c>
      <c r="D244" s="35"/>
      <c r="E244" s="35"/>
      <c r="F244" s="36"/>
      <c r="G244" s="36"/>
      <c r="H244" s="5" t="str">
        <f t="shared" si="7"/>
        <v/>
      </c>
      <c r="I244" s="35"/>
      <c r="J244" s="36"/>
      <c r="K244" s="35"/>
    </row>
    <row r="245" spans="1:11">
      <c r="A245" s="5" t="str">
        <f t="shared" si="6"/>
        <v/>
      </c>
      <c r="B245" s="37"/>
      <c r="C245" s="27" t="str">
        <f>IFERROR(VLOOKUP(B245,Config!$B$7:$C$106,2,0),"")</f>
        <v/>
      </c>
      <c r="D245" s="37"/>
      <c r="E245" s="37"/>
      <c r="F245" s="38"/>
      <c r="G245" s="38"/>
      <c r="H245" s="5" t="str">
        <f t="shared" si="7"/>
        <v/>
      </c>
      <c r="I245" s="37"/>
      <c r="J245" s="38"/>
      <c r="K245" s="37"/>
    </row>
    <row r="246" spans="1:11">
      <c r="A246" s="5" t="str">
        <f t="shared" si="6"/>
        <v/>
      </c>
      <c r="B246" s="35"/>
      <c r="C246" s="27" t="str">
        <f>IFERROR(VLOOKUP(B246,Config!$B$7:$C$106,2,0),"")</f>
        <v/>
      </c>
      <c r="D246" s="35"/>
      <c r="E246" s="35"/>
      <c r="F246" s="36"/>
      <c r="G246" s="36"/>
      <c r="H246" s="5" t="str">
        <f t="shared" si="7"/>
        <v/>
      </c>
      <c r="I246" s="35"/>
      <c r="J246" s="36"/>
      <c r="K246" s="35"/>
    </row>
    <row r="247" spans="1:11">
      <c r="A247" s="5" t="str">
        <f t="shared" si="6"/>
        <v/>
      </c>
      <c r="B247" s="37"/>
      <c r="C247" s="27" t="str">
        <f>IFERROR(VLOOKUP(B247,Config!$B$7:$C$106,2,0),"")</f>
        <v/>
      </c>
      <c r="D247" s="37"/>
      <c r="E247" s="37"/>
      <c r="F247" s="38"/>
      <c r="G247" s="38"/>
      <c r="H247" s="5" t="str">
        <f t="shared" si="7"/>
        <v/>
      </c>
      <c r="I247" s="37"/>
      <c r="J247" s="38"/>
      <c r="K247" s="37"/>
    </row>
    <row r="248" spans="1:11">
      <c r="A248" s="5" t="str">
        <f t="shared" si="6"/>
        <v/>
      </c>
      <c r="B248" s="35"/>
      <c r="C248" s="27" t="str">
        <f>IFERROR(VLOOKUP(B248,Config!$B$7:$C$106,2,0),"")</f>
        <v/>
      </c>
      <c r="D248" s="35"/>
      <c r="E248" s="35"/>
      <c r="F248" s="36"/>
      <c r="G248" s="36"/>
      <c r="H248" s="5" t="str">
        <f t="shared" si="7"/>
        <v/>
      </c>
      <c r="I248" s="35"/>
      <c r="J248" s="36"/>
      <c r="K248" s="35"/>
    </row>
    <row r="249" spans="1:11">
      <c r="A249" s="5" t="str">
        <f t="shared" si="6"/>
        <v/>
      </c>
      <c r="B249" s="37"/>
      <c r="C249" s="27" t="str">
        <f>IFERROR(VLOOKUP(B249,Config!$B$7:$C$106,2,0),"")</f>
        <v/>
      </c>
      <c r="D249" s="37"/>
      <c r="E249" s="37"/>
      <c r="F249" s="38"/>
      <c r="G249" s="38"/>
      <c r="H249" s="5" t="str">
        <f t="shared" si="7"/>
        <v/>
      </c>
      <c r="I249" s="37"/>
      <c r="J249" s="38"/>
      <c r="K249" s="37"/>
    </row>
    <row r="250" spans="1:11">
      <c r="A250" s="5" t="str">
        <f t="shared" si="6"/>
        <v/>
      </c>
      <c r="B250" s="35"/>
      <c r="C250" s="27" t="str">
        <f>IFERROR(VLOOKUP(B250,Config!$B$7:$C$106,2,0),"")</f>
        <v/>
      </c>
      <c r="D250" s="35"/>
      <c r="E250" s="35"/>
      <c r="F250" s="36"/>
      <c r="G250" s="36"/>
      <c r="H250" s="5" t="str">
        <f t="shared" si="7"/>
        <v/>
      </c>
      <c r="I250" s="35"/>
      <c r="J250" s="36"/>
      <c r="K250" s="35"/>
    </row>
    <row r="251" spans="1:11">
      <c r="A251" s="5" t="str">
        <f t="shared" si="6"/>
        <v/>
      </c>
      <c r="B251" s="37"/>
      <c r="C251" s="27" t="str">
        <f>IFERROR(VLOOKUP(B251,Config!$B$7:$C$106,2,0),"")</f>
        <v/>
      </c>
      <c r="D251" s="37"/>
      <c r="E251" s="37"/>
      <c r="F251" s="38"/>
      <c r="G251" s="38"/>
      <c r="H251" s="5" t="str">
        <f t="shared" si="7"/>
        <v/>
      </c>
      <c r="I251" s="37"/>
      <c r="J251" s="38"/>
      <c r="K251" s="37"/>
    </row>
    <row r="252" spans="1:11">
      <c r="A252" s="5" t="str">
        <f t="shared" si="6"/>
        <v/>
      </c>
      <c r="B252" s="35"/>
      <c r="C252" s="27" t="str">
        <f>IFERROR(VLOOKUP(B252,Config!$B$7:$C$106,2,0),"")</f>
        <v/>
      </c>
      <c r="D252" s="35"/>
      <c r="E252" s="35"/>
      <c r="F252" s="36"/>
      <c r="G252" s="36"/>
      <c r="H252" s="5" t="str">
        <f t="shared" si="7"/>
        <v/>
      </c>
      <c r="I252" s="35"/>
      <c r="J252" s="36"/>
      <c r="K252" s="35"/>
    </row>
    <row r="253" spans="1:11">
      <c r="A253" s="5" t="str">
        <f t="shared" si="6"/>
        <v/>
      </c>
      <c r="B253" s="37"/>
      <c r="C253" s="27" t="str">
        <f>IFERROR(VLOOKUP(B253,Config!$B$7:$C$106,2,0),"")</f>
        <v/>
      </c>
      <c r="D253" s="37"/>
      <c r="E253" s="37"/>
      <c r="F253" s="38"/>
      <c r="G253" s="38"/>
      <c r="H253" s="5" t="str">
        <f t="shared" si="7"/>
        <v/>
      </c>
      <c r="I253" s="37"/>
      <c r="J253" s="38"/>
      <c r="K253" s="37"/>
    </row>
    <row r="254" spans="1:11">
      <c r="A254" s="5" t="str">
        <f t="shared" si="6"/>
        <v/>
      </c>
      <c r="B254" s="35"/>
      <c r="C254" s="27" t="str">
        <f>IFERROR(VLOOKUP(B254,Config!$B$7:$C$106,2,0),"")</f>
        <v/>
      </c>
      <c r="D254" s="35"/>
      <c r="E254" s="35"/>
      <c r="F254" s="36"/>
      <c r="G254" s="36"/>
      <c r="H254" s="5" t="str">
        <f t="shared" si="7"/>
        <v/>
      </c>
      <c r="I254" s="35"/>
      <c r="J254" s="36"/>
      <c r="K254" s="35"/>
    </row>
    <row r="255" spans="1:11">
      <c r="A255" s="5" t="str">
        <f t="shared" si="6"/>
        <v/>
      </c>
      <c r="B255" s="37"/>
      <c r="C255" s="27" t="str">
        <f>IFERROR(VLOOKUP(B255,Config!$B$7:$C$106,2,0),"")</f>
        <v/>
      </c>
      <c r="D255" s="37"/>
      <c r="E255" s="37"/>
      <c r="F255" s="38"/>
      <c r="G255" s="38"/>
      <c r="H255" s="5" t="str">
        <f t="shared" si="7"/>
        <v/>
      </c>
      <c r="I255" s="37"/>
      <c r="J255" s="38"/>
      <c r="K255" s="37"/>
    </row>
    <row r="256" spans="1:11">
      <c r="A256" s="5" t="str">
        <f t="shared" si="6"/>
        <v/>
      </c>
      <c r="B256" s="35"/>
      <c r="C256" s="27" t="str">
        <f>IFERROR(VLOOKUP(B256,Config!$B$7:$C$106,2,0),"")</f>
        <v/>
      </c>
      <c r="D256" s="35"/>
      <c r="E256" s="35"/>
      <c r="F256" s="36"/>
      <c r="G256" s="36"/>
      <c r="H256" s="5" t="str">
        <f t="shared" si="7"/>
        <v/>
      </c>
      <c r="I256" s="35"/>
      <c r="J256" s="36"/>
      <c r="K256" s="35"/>
    </row>
    <row r="257" spans="1:11">
      <c r="A257" s="5" t="str">
        <f t="shared" si="6"/>
        <v/>
      </c>
      <c r="B257" s="37"/>
      <c r="C257" s="27" t="str">
        <f>IFERROR(VLOOKUP(B257,Config!$B$7:$C$106,2,0),"")</f>
        <v/>
      </c>
      <c r="D257" s="37"/>
      <c r="E257" s="37"/>
      <c r="F257" s="38"/>
      <c r="G257" s="38"/>
      <c r="H257" s="5" t="str">
        <f t="shared" si="7"/>
        <v/>
      </c>
      <c r="I257" s="37"/>
      <c r="J257" s="38"/>
      <c r="K257" s="37"/>
    </row>
    <row r="258" spans="1:11">
      <c r="A258" s="5" t="str">
        <f t="shared" si="6"/>
        <v/>
      </c>
      <c r="B258" s="35"/>
      <c r="C258" s="27" t="str">
        <f>IFERROR(VLOOKUP(B258,Config!$B$7:$C$106,2,0),"")</f>
        <v/>
      </c>
      <c r="D258" s="35"/>
      <c r="E258" s="35"/>
      <c r="F258" s="36"/>
      <c r="G258" s="36"/>
      <c r="H258" s="5" t="str">
        <f t="shared" si="7"/>
        <v/>
      </c>
      <c r="I258" s="35"/>
      <c r="J258" s="36"/>
      <c r="K258" s="35"/>
    </row>
    <row r="259" spans="1:11">
      <c r="A259" s="5" t="str">
        <f t="shared" si="6"/>
        <v/>
      </c>
      <c r="B259" s="37"/>
      <c r="C259" s="27" t="str">
        <f>IFERROR(VLOOKUP(B259,Config!$B$7:$C$106,2,0),"")</f>
        <v/>
      </c>
      <c r="D259" s="37"/>
      <c r="E259" s="37"/>
      <c r="F259" s="38"/>
      <c r="G259" s="38"/>
      <c r="H259" s="5" t="str">
        <f t="shared" si="7"/>
        <v/>
      </c>
      <c r="I259" s="37"/>
      <c r="J259" s="38"/>
      <c r="K259" s="37"/>
    </row>
    <row r="260" spans="1:11">
      <c r="A260" s="5" t="str">
        <f t="shared" ref="A260:A303" si="8">IF(B260="","",ROW()-3)</f>
        <v/>
      </c>
      <c r="B260" s="35"/>
      <c r="C260" s="27" t="str">
        <f>IFERROR(VLOOKUP(B260,Config!$B$7:$C$106,2,0),"")</f>
        <v/>
      </c>
      <c r="D260" s="35"/>
      <c r="E260" s="35"/>
      <c r="F260" s="36"/>
      <c r="G260" s="36"/>
      <c r="H260" s="5" t="str">
        <f t="shared" ref="H260:H303" si="9">IF(F260="","",TEXT(F260,"MMMM YYYY"))</f>
        <v/>
      </c>
      <c r="I260" s="35"/>
      <c r="J260" s="36"/>
      <c r="K260" s="35"/>
    </row>
    <row r="261" spans="1:11">
      <c r="A261" s="5" t="str">
        <f t="shared" si="8"/>
        <v/>
      </c>
      <c r="B261" s="37"/>
      <c r="C261" s="27" t="str">
        <f>IFERROR(VLOOKUP(B261,Config!$B$7:$C$106,2,0),"")</f>
        <v/>
      </c>
      <c r="D261" s="37"/>
      <c r="E261" s="37"/>
      <c r="F261" s="38"/>
      <c r="G261" s="38"/>
      <c r="H261" s="5" t="str">
        <f t="shared" si="9"/>
        <v/>
      </c>
      <c r="I261" s="37"/>
      <c r="J261" s="38"/>
      <c r="K261" s="37"/>
    </row>
    <row r="262" spans="1:11">
      <c r="A262" s="5" t="str">
        <f t="shared" si="8"/>
        <v/>
      </c>
      <c r="B262" s="35"/>
      <c r="C262" s="27" t="str">
        <f>IFERROR(VLOOKUP(B262,Config!$B$7:$C$106,2,0),"")</f>
        <v/>
      </c>
      <c r="D262" s="35"/>
      <c r="E262" s="35"/>
      <c r="F262" s="36"/>
      <c r="G262" s="36"/>
      <c r="H262" s="5" t="str">
        <f t="shared" si="9"/>
        <v/>
      </c>
      <c r="I262" s="35"/>
      <c r="J262" s="36"/>
      <c r="K262" s="35"/>
    </row>
    <row r="263" spans="1:11">
      <c r="A263" s="5" t="str">
        <f t="shared" si="8"/>
        <v/>
      </c>
      <c r="B263" s="37"/>
      <c r="C263" s="27" t="str">
        <f>IFERROR(VLOOKUP(B263,Config!$B$7:$C$106,2,0),"")</f>
        <v/>
      </c>
      <c r="D263" s="37"/>
      <c r="E263" s="37"/>
      <c r="F263" s="38"/>
      <c r="G263" s="38"/>
      <c r="H263" s="5" t="str">
        <f t="shared" si="9"/>
        <v/>
      </c>
      <c r="I263" s="37"/>
      <c r="J263" s="38"/>
      <c r="K263" s="37"/>
    </row>
    <row r="264" spans="1:11">
      <c r="A264" s="5" t="str">
        <f t="shared" si="8"/>
        <v/>
      </c>
      <c r="B264" s="35"/>
      <c r="C264" s="27" t="str">
        <f>IFERROR(VLOOKUP(B264,Config!$B$7:$C$106,2,0),"")</f>
        <v/>
      </c>
      <c r="D264" s="35"/>
      <c r="E264" s="35"/>
      <c r="F264" s="36"/>
      <c r="G264" s="36"/>
      <c r="H264" s="5" t="str">
        <f t="shared" si="9"/>
        <v/>
      </c>
      <c r="I264" s="35"/>
      <c r="J264" s="36"/>
      <c r="K264" s="35"/>
    </row>
    <row r="265" spans="1:11">
      <c r="A265" s="5" t="str">
        <f t="shared" si="8"/>
        <v/>
      </c>
      <c r="B265" s="37"/>
      <c r="C265" s="27" t="str">
        <f>IFERROR(VLOOKUP(B265,Config!$B$7:$C$106,2,0),"")</f>
        <v/>
      </c>
      <c r="D265" s="37"/>
      <c r="E265" s="37"/>
      <c r="F265" s="38"/>
      <c r="G265" s="38"/>
      <c r="H265" s="5" t="str">
        <f t="shared" si="9"/>
        <v/>
      </c>
      <c r="I265" s="37"/>
      <c r="J265" s="38"/>
      <c r="K265" s="37"/>
    </row>
    <row r="266" spans="1:11">
      <c r="A266" s="5" t="str">
        <f t="shared" si="8"/>
        <v/>
      </c>
      <c r="B266" s="35"/>
      <c r="C266" s="27" t="str">
        <f>IFERROR(VLOOKUP(B266,Config!$B$7:$C$106,2,0),"")</f>
        <v/>
      </c>
      <c r="D266" s="35"/>
      <c r="E266" s="35"/>
      <c r="F266" s="36"/>
      <c r="G266" s="36"/>
      <c r="H266" s="5" t="str">
        <f t="shared" si="9"/>
        <v/>
      </c>
      <c r="I266" s="35"/>
      <c r="J266" s="36"/>
      <c r="K266" s="35"/>
    </row>
    <row r="267" spans="1:11">
      <c r="A267" s="5" t="str">
        <f t="shared" si="8"/>
        <v/>
      </c>
      <c r="B267" s="37"/>
      <c r="C267" s="27" t="str">
        <f>IFERROR(VLOOKUP(B267,Config!$B$7:$C$106,2,0),"")</f>
        <v/>
      </c>
      <c r="D267" s="37"/>
      <c r="E267" s="37"/>
      <c r="F267" s="38"/>
      <c r="G267" s="38"/>
      <c r="H267" s="5" t="str">
        <f t="shared" si="9"/>
        <v/>
      </c>
      <c r="I267" s="37"/>
      <c r="J267" s="38"/>
      <c r="K267" s="37"/>
    </row>
    <row r="268" spans="1:11">
      <c r="A268" s="5" t="str">
        <f t="shared" si="8"/>
        <v/>
      </c>
      <c r="B268" s="35"/>
      <c r="C268" s="27" t="str">
        <f>IFERROR(VLOOKUP(B268,Config!$B$7:$C$106,2,0),"")</f>
        <v/>
      </c>
      <c r="D268" s="35"/>
      <c r="E268" s="35"/>
      <c r="F268" s="36"/>
      <c r="G268" s="36"/>
      <c r="H268" s="5" t="str">
        <f t="shared" si="9"/>
        <v/>
      </c>
      <c r="I268" s="35"/>
      <c r="J268" s="36"/>
      <c r="K268" s="35"/>
    </row>
    <row r="269" spans="1:11">
      <c r="A269" s="5" t="str">
        <f t="shared" si="8"/>
        <v/>
      </c>
      <c r="B269" s="37"/>
      <c r="C269" s="27" t="str">
        <f>IFERROR(VLOOKUP(B269,Config!$B$7:$C$106,2,0),"")</f>
        <v/>
      </c>
      <c r="D269" s="37"/>
      <c r="E269" s="37"/>
      <c r="F269" s="38"/>
      <c r="G269" s="38"/>
      <c r="H269" s="5" t="str">
        <f t="shared" si="9"/>
        <v/>
      </c>
      <c r="I269" s="37"/>
      <c r="J269" s="38"/>
      <c r="K269" s="37"/>
    </row>
    <row r="270" spans="1:11">
      <c r="A270" s="5" t="str">
        <f t="shared" si="8"/>
        <v/>
      </c>
      <c r="B270" s="35"/>
      <c r="C270" s="27" t="str">
        <f>IFERROR(VLOOKUP(B270,Config!$B$7:$C$106,2,0),"")</f>
        <v/>
      </c>
      <c r="D270" s="35"/>
      <c r="E270" s="35"/>
      <c r="F270" s="36"/>
      <c r="G270" s="36"/>
      <c r="H270" s="5" t="str">
        <f t="shared" si="9"/>
        <v/>
      </c>
      <c r="I270" s="35"/>
      <c r="J270" s="36"/>
      <c r="K270" s="35"/>
    </row>
    <row r="271" spans="1:11">
      <c r="A271" s="5" t="str">
        <f t="shared" si="8"/>
        <v/>
      </c>
      <c r="B271" s="37"/>
      <c r="C271" s="27" t="str">
        <f>IFERROR(VLOOKUP(B271,Config!$B$7:$C$106,2,0),"")</f>
        <v/>
      </c>
      <c r="D271" s="37"/>
      <c r="E271" s="37"/>
      <c r="F271" s="38"/>
      <c r="G271" s="38"/>
      <c r="H271" s="5" t="str">
        <f t="shared" si="9"/>
        <v/>
      </c>
      <c r="I271" s="37"/>
      <c r="J271" s="38"/>
      <c r="K271" s="37"/>
    </row>
    <row r="272" spans="1:11">
      <c r="A272" s="5" t="str">
        <f t="shared" si="8"/>
        <v/>
      </c>
      <c r="B272" s="35"/>
      <c r="C272" s="27" t="str">
        <f>IFERROR(VLOOKUP(B272,Config!$B$7:$C$106,2,0),"")</f>
        <v/>
      </c>
      <c r="D272" s="35"/>
      <c r="E272" s="35"/>
      <c r="F272" s="36"/>
      <c r="G272" s="36"/>
      <c r="H272" s="5" t="str">
        <f t="shared" si="9"/>
        <v/>
      </c>
      <c r="I272" s="35"/>
      <c r="J272" s="36"/>
      <c r="K272" s="35"/>
    </row>
    <row r="273" spans="1:11">
      <c r="A273" s="5" t="str">
        <f t="shared" si="8"/>
        <v/>
      </c>
      <c r="B273" s="37"/>
      <c r="C273" s="27" t="str">
        <f>IFERROR(VLOOKUP(B273,Config!$B$7:$C$106,2,0),"")</f>
        <v/>
      </c>
      <c r="D273" s="37"/>
      <c r="E273" s="37"/>
      <c r="F273" s="38"/>
      <c r="G273" s="38"/>
      <c r="H273" s="5" t="str">
        <f t="shared" si="9"/>
        <v/>
      </c>
      <c r="I273" s="37"/>
      <c r="J273" s="38"/>
      <c r="K273" s="37"/>
    </row>
    <row r="274" spans="1:11">
      <c r="A274" s="5" t="str">
        <f t="shared" si="8"/>
        <v/>
      </c>
      <c r="B274" s="35"/>
      <c r="C274" s="27" t="str">
        <f>IFERROR(VLOOKUP(B274,Config!$B$7:$C$106,2,0),"")</f>
        <v/>
      </c>
      <c r="D274" s="35"/>
      <c r="E274" s="35"/>
      <c r="F274" s="36"/>
      <c r="G274" s="36"/>
      <c r="H274" s="5" t="str">
        <f t="shared" si="9"/>
        <v/>
      </c>
      <c r="I274" s="35"/>
      <c r="J274" s="36"/>
      <c r="K274" s="35"/>
    </row>
    <row r="275" spans="1:11">
      <c r="A275" s="5" t="str">
        <f t="shared" si="8"/>
        <v/>
      </c>
      <c r="B275" s="37"/>
      <c r="C275" s="27" t="str">
        <f>IFERROR(VLOOKUP(B275,Config!$B$7:$C$106,2,0),"")</f>
        <v/>
      </c>
      <c r="D275" s="37"/>
      <c r="E275" s="37"/>
      <c r="F275" s="38"/>
      <c r="G275" s="38"/>
      <c r="H275" s="5" t="str">
        <f t="shared" si="9"/>
        <v/>
      </c>
      <c r="I275" s="37"/>
      <c r="J275" s="38"/>
      <c r="K275" s="37"/>
    </row>
    <row r="276" spans="1:11">
      <c r="A276" s="5" t="str">
        <f t="shared" si="8"/>
        <v/>
      </c>
      <c r="B276" s="35"/>
      <c r="C276" s="27" t="str">
        <f>IFERROR(VLOOKUP(B276,Config!$B$7:$C$106,2,0),"")</f>
        <v/>
      </c>
      <c r="D276" s="35"/>
      <c r="E276" s="35"/>
      <c r="F276" s="36"/>
      <c r="G276" s="36"/>
      <c r="H276" s="5" t="str">
        <f t="shared" si="9"/>
        <v/>
      </c>
      <c r="I276" s="35"/>
      <c r="J276" s="36"/>
      <c r="K276" s="35"/>
    </row>
    <row r="277" spans="1:11">
      <c r="A277" s="5" t="str">
        <f t="shared" si="8"/>
        <v/>
      </c>
      <c r="B277" s="37"/>
      <c r="C277" s="27" t="str">
        <f>IFERROR(VLOOKUP(B277,Config!$B$7:$C$106,2,0),"")</f>
        <v/>
      </c>
      <c r="D277" s="37"/>
      <c r="E277" s="37"/>
      <c r="F277" s="38"/>
      <c r="G277" s="38"/>
      <c r="H277" s="5" t="str">
        <f t="shared" si="9"/>
        <v/>
      </c>
      <c r="I277" s="37"/>
      <c r="J277" s="38"/>
      <c r="K277" s="37"/>
    </row>
    <row r="278" spans="1:11">
      <c r="A278" s="5" t="str">
        <f t="shared" si="8"/>
        <v/>
      </c>
      <c r="B278" s="35"/>
      <c r="C278" s="27" t="str">
        <f>IFERROR(VLOOKUP(B278,Config!$B$7:$C$106,2,0),"")</f>
        <v/>
      </c>
      <c r="D278" s="35"/>
      <c r="E278" s="35"/>
      <c r="F278" s="36"/>
      <c r="G278" s="36"/>
      <c r="H278" s="5" t="str">
        <f t="shared" si="9"/>
        <v/>
      </c>
      <c r="I278" s="35"/>
      <c r="J278" s="36"/>
      <c r="K278" s="35"/>
    </row>
    <row r="279" spans="1:11">
      <c r="A279" s="5" t="str">
        <f t="shared" si="8"/>
        <v/>
      </c>
      <c r="B279" s="37"/>
      <c r="C279" s="27" t="str">
        <f>IFERROR(VLOOKUP(B279,Config!$B$7:$C$106,2,0),"")</f>
        <v/>
      </c>
      <c r="D279" s="37"/>
      <c r="E279" s="37"/>
      <c r="F279" s="38"/>
      <c r="G279" s="38"/>
      <c r="H279" s="5" t="str">
        <f t="shared" si="9"/>
        <v/>
      </c>
      <c r="I279" s="37"/>
      <c r="J279" s="38"/>
      <c r="K279" s="37"/>
    </row>
    <row r="280" spans="1:11">
      <c r="A280" s="5" t="str">
        <f t="shared" si="8"/>
        <v/>
      </c>
      <c r="B280" s="35"/>
      <c r="C280" s="27" t="str">
        <f>IFERROR(VLOOKUP(B280,Config!$B$7:$C$106,2,0),"")</f>
        <v/>
      </c>
      <c r="D280" s="35"/>
      <c r="E280" s="35"/>
      <c r="F280" s="36"/>
      <c r="G280" s="36"/>
      <c r="H280" s="5" t="str">
        <f t="shared" si="9"/>
        <v/>
      </c>
      <c r="I280" s="35"/>
      <c r="J280" s="36"/>
      <c r="K280" s="35"/>
    </row>
    <row r="281" spans="1:11">
      <c r="A281" s="5" t="str">
        <f t="shared" si="8"/>
        <v/>
      </c>
      <c r="B281" s="37"/>
      <c r="C281" s="27" t="str">
        <f>IFERROR(VLOOKUP(B281,Config!$B$7:$C$106,2,0),"")</f>
        <v/>
      </c>
      <c r="D281" s="37"/>
      <c r="E281" s="37"/>
      <c r="F281" s="38"/>
      <c r="G281" s="38"/>
      <c r="H281" s="5" t="str">
        <f t="shared" si="9"/>
        <v/>
      </c>
      <c r="I281" s="37"/>
      <c r="J281" s="38"/>
      <c r="K281" s="37"/>
    </row>
    <row r="282" spans="1:11">
      <c r="A282" s="5" t="str">
        <f t="shared" si="8"/>
        <v/>
      </c>
      <c r="B282" s="35"/>
      <c r="C282" s="27" t="str">
        <f>IFERROR(VLOOKUP(B282,Config!$B$7:$C$106,2,0),"")</f>
        <v/>
      </c>
      <c r="D282" s="35"/>
      <c r="E282" s="35"/>
      <c r="F282" s="36"/>
      <c r="G282" s="36"/>
      <c r="H282" s="5" t="str">
        <f t="shared" si="9"/>
        <v/>
      </c>
      <c r="I282" s="35"/>
      <c r="J282" s="36"/>
      <c r="K282" s="35"/>
    </row>
    <row r="283" spans="1:11">
      <c r="A283" s="5" t="str">
        <f t="shared" si="8"/>
        <v/>
      </c>
      <c r="B283" s="37"/>
      <c r="C283" s="27" t="str">
        <f>IFERROR(VLOOKUP(B283,Config!$B$7:$C$106,2,0),"")</f>
        <v/>
      </c>
      <c r="D283" s="37"/>
      <c r="E283" s="37"/>
      <c r="F283" s="38"/>
      <c r="G283" s="38"/>
      <c r="H283" s="5" t="str">
        <f t="shared" si="9"/>
        <v/>
      </c>
      <c r="I283" s="37"/>
      <c r="J283" s="38"/>
      <c r="K283" s="37"/>
    </row>
    <row r="284" spans="1:11">
      <c r="A284" s="5" t="str">
        <f t="shared" si="8"/>
        <v/>
      </c>
      <c r="B284" s="35"/>
      <c r="C284" s="27" t="str">
        <f>IFERROR(VLOOKUP(B284,Config!$B$7:$C$106,2,0),"")</f>
        <v/>
      </c>
      <c r="D284" s="35"/>
      <c r="E284" s="35"/>
      <c r="F284" s="36"/>
      <c r="G284" s="36"/>
      <c r="H284" s="5" t="str">
        <f t="shared" si="9"/>
        <v/>
      </c>
      <c r="I284" s="35"/>
      <c r="J284" s="36"/>
      <c r="K284" s="35"/>
    </row>
    <row r="285" spans="1:11">
      <c r="A285" s="5" t="str">
        <f t="shared" si="8"/>
        <v/>
      </c>
      <c r="B285" s="37"/>
      <c r="C285" s="27" t="str">
        <f>IFERROR(VLOOKUP(B285,Config!$B$7:$C$106,2,0),"")</f>
        <v/>
      </c>
      <c r="D285" s="37"/>
      <c r="E285" s="37"/>
      <c r="F285" s="38"/>
      <c r="G285" s="38"/>
      <c r="H285" s="5" t="str">
        <f t="shared" si="9"/>
        <v/>
      </c>
      <c r="I285" s="37"/>
      <c r="J285" s="38"/>
      <c r="K285" s="37"/>
    </row>
    <row r="286" spans="1:11">
      <c r="A286" s="5" t="str">
        <f t="shared" si="8"/>
        <v/>
      </c>
      <c r="B286" s="35"/>
      <c r="C286" s="27" t="str">
        <f>IFERROR(VLOOKUP(B286,Config!$B$7:$C$106,2,0),"")</f>
        <v/>
      </c>
      <c r="D286" s="35"/>
      <c r="E286" s="35"/>
      <c r="F286" s="36"/>
      <c r="G286" s="36"/>
      <c r="H286" s="5" t="str">
        <f t="shared" si="9"/>
        <v/>
      </c>
      <c r="I286" s="35"/>
      <c r="J286" s="36"/>
      <c r="K286" s="35"/>
    </row>
    <row r="287" spans="1:11">
      <c r="A287" s="5" t="str">
        <f t="shared" si="8"/>
        <v/>
      </c>
      <c r="B287" s="37"/>
      <c r="C287" s="27" t="str">
        <f>IFERROR(VLOOKUP(B287,Config!$B$7:$C$106,2,0),"")</f>
        <v/>
      </c>
      <c r="D287" s="37"/>
      <c r="E287" s="37"/>
      <c r="F287" s="38"/>
      <c r="G287" s="38"/>
      <c r="H287" s="5" t="str">
        <f t="shared" si="9"/>
        <v/>
      </c>
      <c r="I287" s="37"/>
      <c r="J287" s="38"/>
      <c r="K287" s="37"/>
    </row>
    <row r="288" spans="1:11">
      <c r="A288" s="5" t="str">
        <f t="shared" si="8"/>
        <v/>
      </c>
      <c r="B288" s="35"/>
      <c r="C288" s="27" t="str">
        <f>IFERROR(VLOOKUP(B288,Config!$B$7:$C$106,2,0),"")</f>
        <v/>
      </c>
      <c r="D288" s="35"/>
      <c r="E288" s="35"/>
      <c r="F288" s="36"/>
      <c r="G288" s="36"/>
      <c r="H288" s="5" t="str">
        <f t="shared" si="9"/>
        <v/>
      </c>
      <c r="I288" s="35"/>
      <c r="J288" s="36"/>
      <c r="K288" s="35"/>
    </row>
    <row r="289" spans="1:11">
      <c r="A289" s="5" t="str">
        <f t="shared" si="8"/>
        <v/>
      </c>
      <c r="B289" s="37"/>
      <c r="C289" s="27" t="str">
        <f>IFERROR(VLOOKUP(B289,Config!$B$7:$C$106,2,0),"")</f>
        <v/>
      </c>
      <c r="D289" s="37"/>
      <c r="E289" s="37"/>
      <c r="F289" s="38"/>
      <c r="G289" s="38"/>
      <c r="H289" s="5" t="str">
        <f t="shared" si="9"/>
        <v/>
      </c>
      <c r="I289" s="37"/>
      <c r="J289" s="38"/>
      <c r="K289" s="37"/>
    </row>
    <row r="290" spans="1:11">
      <c r="A290" s="5" t="str">
        <f t="shared" si="8"/>
        <v/>
      </c>
      <c r="B290" s="35"/>
      <c r="C290" s="27" t="str">
        <f>IFERROR(VLOOKUP(B290,Config!$B$7:$C$106,2,0),"")</f>
        <v/>
      </c>
      <c r="D290" s="35"/>
      <c r="E290" s="35"/>
      <c r="F290" s="36"/>
      <c r="G290" s="36"/>
      <c r="H290" s="5" t="str">
        <f t="shared" si="9"/>
        <v/>
      </c>
      <c r="I290" s="35"/>
      <c r="J290" s="36"/>
      <c r="K290" s="35"/>
    </row>
    <row r="291" spans="1:11">
      <c r="A291" s="5" t="str">
        <f t="shared" si="8"/>
        <v/>
      </c>
      <c r="B291" s="37"/>
      <c r="C291" s="27" t="str">
        <f>IFERROR(VLOOKUP(B291,Config!$B$7:$C$106,2,0),"")</f>
        <v/>
      </c>
      <c r="D291" s="37"/>
      <c r="E291" s="37"/>
      <c r="F291" s="38"/>
      <c r="G291" s="38"/>
      <c r="H291" s="5" t="str">
        <f t="shared" si="9"/>
        <v/>
      </c>
      <c r="I291" s="37"/>
      <c r="J291" s="38"/>
      <c r="K291" s="37"/>
    </row>
    <row r="292" spans="1:11">
      <c r="A292" s="5" t="str">
        <f t="shared" si="8"/>
        <v/>
      </c>
      <c r="B292" s="35"/>
      <c r="C292" s="27" t="str">
        <f>IFERROR(VLOOKUP(B292,Config!$B$7:$C$106,2,0),"")</f>
        <v/>
      </c>
      <c r="D292" s="35"/>
      <c r="E292" s="35"/>
      <c r="F292" s="36"/>
      <c r="G292" s="36"/>
      <c r="H292" s="5" t="str">
        <f t="shared" si="9"/>
        <v/>
      </c>
      <c r="I292" s="35"/>
      <c r="J292" s="36"/>
      <c r="K292" s="35"/>
    </row>
    <row r="293" spans="1:11">
      <c r="A293" s="5" t="str">
        <f t="shared" si="8"/>
        <v/>
      </c>
      <c r="B293" s="37"/>
      <c r="C293" s="27" t="str">
        <f>IFERROR(VLOOKUP(B293,Config!$B$7:$C$106,2,0),"")</f>
        <v/>
      </c>
      <c r="D293" s="37"/>
      <c r="E293" s="37"/>
      <c r="F293" s="38"/>
      <c r="G293" s="38"/>
      <c r="H293" s="5" t="str">
        <f t="shared" si="9"/>
        <v/>
      </c>
      <c r="I293" s="37"/>
      <c r="J293" s="38"/>
      <c r="K293" s="37"/>
    </row>
    <row r="294" spans="1:11">
      <c r="A294" s="5" t="str">
        <f t="shared" si="8"/>
        <v/>
      </c>
      <c r="B294" s="35"/>
      <c r="C294" s="27" t="str">
        <f>IFERROR(VLOOKUP(B294,Config!$B$7:$C$106,2,0),"")</f>
        <v/>
      </c>
      <c r="D294" s="35"/>
      <c r="E294" s="35"/>
      <c r="F294" s="36"/>
      <c r="G294" s="36"/>
      <c r="H294" s="5" t="str">
        <f t="shared" si="9"/>
        <v/>
      </c>
      <c r="I294" s="35"/>
      <c r="J294" s="36"/>
      <c r="K294" s="35"/>
    </row>
    <row r="295" spans="1:11">
      <c r="A295" s="5" t="str">
        <f t="shared" si="8"/>
        <v/>
      </c>
      <c r="B295" s="37"/>
      <c r="C295" s="27" t="str">
        <f>IFERROR(VLOOKUP(B295,Config!$B$7:$C$106,2,0),"")</f>
        <v/>
      </c>
      <c r="D295" s="37"/>
      <c r="E295" s="37"/>
      <c r="F295" s="38"/>
      <c r="G295" s="38"/>
      <c r="H295" s="5" t="str">
        <f t="shared" si="9"/>
        <v/>
      </c>
      <c r="I295" s="37"/>
      <c r="J295" s="38"/>
      <c r="K295" s="37"/>
    </row>
    <row r="296" spans="1:11">
      <c r="A296" s="5" t="str">
        <f t="shared" si="8"/>
        <v/>
      </c>
      <c r="B296" s="35"/>
      <c r="C296" s="27" t="str">
        <f>IFERROR(VLOOKUP(B296,Config!$B$7:$C$106,2,0),"")</f>
        <v/>
      </c>
      <c r="D296" s="35"/>
      <c r="E296" s="35"/>
      <c r="F296" s="36"/>
      <c r="G296" s="36"/>
      <c r="H296" s="5" t="str">
        <f t="shared" si="9"/>
        <v/>
      </c>
      <c r="I296" s="35"/>
      <c r="J296" s="36"/>
      <c r="K296" s="35"/>
    </row>
    <row r="297" spans="1:11">
      <c r="A297" s="5" t="str">
        <f t="shared" si="8"/>
        <v/>
      </c>
      <c r="B297" s="37"/>
      <c r="C297" s="27" t="str">
        <f>IFERROR(VLOOKUP(B297,Config!$B$7:$C$106,2,0),"")</f>
        <v/>
      </c>
      <c r="D297" s="37"/>
      <c r="E297" s="37"/>
      <c r="F297" s="38"/>
      <c r="G297" s="38"/>
      <c r="H297" s="5" t="str">
        <f t="shared" si="9"/>
        <v/>
      </c>
      <c r="I297" s="37"/>
      <c r="J297" s="38"/>
      <c r="K297" s="37"/>
    </row>
    <row r="298" spans="1:11">
      <c r="A298" s="5" t="str">
        <f t="shared" si="8"/>
        <v/>
      </c>
      <c r="B298" s="35"/>
      <c r="C298" s="27" t="str">
        <f>IFERROR(VLOOKUP(B298,Config!$B$7:$C$106,2,0),"")</f>
        <v/>
      </c>
      <c r="D298" s="35"/>
      <c r="E298" s="35"/>
      <c r="F298" s="36"/>
      <c r="G298" s="36"/>
      <c r="H298" s="5" t="str">
        <f t="shared" si="9"/>
        <v/>
      </c>
      <c r="I298" s="35"/>
      <c r="J298" s="36"/>
      <c r="K298" s="35"/>
    </row>
    <row r="299" spans="1:11">
      <c r="A299" s="5" t="str">
        <f t="shared" si="8"/>
        <v/>
      </c>
      <c r="B299" s="37"/>
      <c r="C299" s="27" t="str">
        <f>IFERROR(VLOOKUP(B299,Config!$B$7:$C$106,2,0),"")</f>
        <v/>
      </c>
      <c r="D299" s="37"/>
      <c r="E299" s="37"/>
      <c r="F299" s="38"/>
      <c r="G299" s="38"/>
      <c r="H299" s="5" t="str">
        <f t="shared" si="9"/>
        <v/>
      </c>
      <c r="I299" s="37"/>
      <c r="J299" s="38"/>
      <c r="K299" s="37"/>
    </row>
    <row r="300" spans="1:11">
      <c r="A300" s="5" t="str">
        <f t="shared" si="8"/>
        <v/>
      </c>
      <c r="B300" s="35"/>
      <c r="C300" s="27" t="str">
        <f>IFERROR(VLOOKUP(B300,Config!$B$7:$C$106,2,0),"")</f>
        <v/>
      </c>
      <c r="D300" s="35"/>
      <c r="E300" s="35"/>
      <c r="F300" s="36"/>
      <c r="G300" s="36"/>
      <c r="H300" s="5" t="str">
        <f t="shared" si="9"/>
        <v/>
      </c>
      <c r="I300" s="35"/>
      <c r="J300" s="36"/>
      <c r="K300" s="35"/>
    </row>
    <row r="301" spans="1:11">
      <c r="A301" s="5" t="str">
        <f t="shared" si="8"/>
        <v/>
      </c>
      <c r="B301" s="37"/>
      <c r="C301" s="27" t="str">
        <f>IFERROR(VLOOKUP(B301,Config!$B$7:$C$106,2,0),"")</f>
        <v/>
      </c>
      <c r="D301" s="37"/>
      <c r="E301" s="37"/>
      <c r="F301" s="38"/>
      <c r="G301" s="38"/>
      <c r="H301" s="5" t="str">
        <f t="shared" si="9"/>
        <v/>
      </c>
      <c r="I301" s="37"/>
      <c r="J301" s="38"/>
      <c r="K301" s="37"/>
    </row>
    <row r="302" spans="1:11">
      <c r="A302" s="5" t="str">
        <f t="shared" si="8"/>
        <v/>
      </c>
      <c r="B302" s="35"/>
      <c r="C302" s="27" t="str">
        <f>IFERROR(VLOOKUP(B302,Config!$B$7:$C$106,2,0),"")</f>
        <v/>
      </c>
      <c r="D302" s="35"/>
      <c r="E302" s="35"/>
      <c r="F302" s="36"/>
      <c r="G302" s="36"/>
      <c r="H302" s="5" t="str">
        <f t="shared" si="9"/>
        <v/>
      </c>
      <c r="I302" s="35"/>
      <c r="J302" s="36"/>
      <c r="K302" s="35"/>
    </row>
    <row r="303" spans="1:11">
      <c r="A303" s="5" t="str">
        <f t="shared" si="8"/>
        <v/>
      </c>
      <c r="B303" s="37"/>
      <c r="C303" s="27" t="str">
        <f>IFERROR(VLOOKUP(B303,Config!$B$7:$C$106,2,0),"")</f>
        <v/>
      </c>
      <c r="D303" s="37"/>
      <c r="E303" s="37"/>
      <c r="F303" s="38"/>
      <c r="G303" s="38"/>
      <c r="H303" s="5" t="str">
        <f t="shared" si="9"/>
        <v/>
      </c>
      <c r="I303" s="37"/>
      <c r="J303" s="38"/>
      <c r="K303" s="37"/>
    </row>
    <row r="304" spans="1:11">
      <c r="A304" s="39" t="s">
        <v>144</v>
      </c>
    </row>
    <row r="305" ht="17" customHeight="1" spans="1:11">
      <c r="A305" s="40">
        <f>IF(B305="","",ROW()-3)</f>
        <v>302</v>
      </c>
      <c r="B305" s="41" t="s">
        <v>72</v>
      </c>
      <c r="C305" s="42" t="str">
        <f>IFERROR(VLOOKUP(B305,Config!$B$7:$C$106,2,0),"")</f>
        <v/>
      </c>
      <c r="D305" s="43" t="s">
        <v>21</v>
      </c>
      <c r="E305" s="44" t="s">
        <v>145</v>
      </c>
      <c r="F305" s="45">
        <v>46182.5</v>
      </c>
      <c r="G305" s="45">
        <v>46182.5</v>
      </c>
      <c r="H305" s="40" t="str">
        <f>IF(F305="","",TEXT(F305,"MMMM YYYY"))</f>
        <v>June 2026</v>
      </c>
      <c r="I305" s="46">
        <v>1</v>
      </c>
      <c r="J305" s="45">
        <v>46182.5</v>
      </c>
      <c r="K305" s="47" t="s">
        <v>104</v>
      </c>
    </row>
    <row r="306" ht="17" customHeight="1" spans="1:11">
      <c r="A306" s="40">
        <f>IF(B306="","",ROW()-3)</f>
        <v>303</v>
      </c>
      <c r="B306" s="41" t="s">
        <v>39</v>
      </c>
      <c r="C306" s="42" t="str">
        <f>IFERROR(VLOOKUP(B306,Config!$B$7:$C$106,2,0),"")</f>
        <v>Asst. Co-ord. (Pre-School)</v>
      </c>
      <c r="D306" s="43" t="s">
        <v>17</v>
      </c>
      <c r="E306" s="44" t="s">
        <v>146</v>
      </c>
      <c r="F306" s="45">
        <v>46181.5</v>
      </c>
      <c r="G306" s="45">
        <v>46181.5</v>
      </c>
      <c r="H306" s="40" t="str">
        <f>IF(F306="","",TEXT(F306,"MMMM YYYY"))</f>
        <v>June 2026</v>
      </c>
      <c r="I306" s="46">
        <v>1</v>
      </c>
      <c r="J306" s="45">
        <v>46181.5</v>
      </c>
      <c r="K306" s="47" t="s">
        <v>104</v>
      </c>
    </row>
    <row r="307" ht="17" customHeight="1" spans="1:11">
      <c r="A307" s="40">
        <f>IF(B307="","",ROW()-3)</f>
        <v>304</v>
      </c>
      <c r="B307" s="41" t="s">
        <v>43</v>
      </c>
      <c r="C307" s="42" t="str">
        <f>IFERROR(VLOOKUP(B307,Config!$B$7:$C$106,2,0),"")</f>
        <v>Asst. Co-ord. (Secondary)</v>
      </c>
      <c r="D307" s="43" t="s">
        <v>17</v>
      </c>
      <c r="E307" s="44" t="s">
        <v>113</v>
      </c>
      <c r="F307" s="45">
        <v>46155.5</v>
      </c>
      <c r="G307" s="45">
        <v>46156.5</v>
      </c>
      <c r="H307" s="40" t="str">
        <f>IF(F307="","",TEXT(F307,"MMMM YYYY"))</f>
        <v>May 2026</v>
      </c>
      <c r="I307" s="46">
        <v>2</v>
      </c>
      <c r="J307" s="45">
        <v>46155.5</v>
      </c>
      <c r="K307" s="34" t="s">
        <v>104</v>
      </c>
    </row>
    <row r="308" ht="17" customHeight="1" spans="1:11">
      <c r="A308" s="40">
        <f>IF(B308="","",ROW()-3)</f>
        <v>305</v>
      </c>
      <c r="B308" s="41" t="s">
        <v>67</v>
      </c>
      <c r="C308" s="42" t="str">
        <f>IFERROR(VLOOKUP(B308,Config!$B$7:$C$106,2,0),"")</f>
        <v>Class Teacher</v>
      </c>
      <c r="D308" s="43" t="s">
        <v>17</v>
      </c>
      <c r="E308" s="44" t="s">
        <v>147</v>
      </c>
      <c r="F308" s="45">
        <v>46154.5</v>
      </c>
      <c r="G308" s="45">
        <v>46155.5</v>
      </c>
      <c r="H308" s="40" t="str">
        <f>IF(F308="","",TEXT(F308,"MMMM YYYY"))</f>
        <v>May 2026</v>
      </c>
      <c r="I308" s="46">
        <v>2</v>
      </c>
      <c r="J308" s="45">
        <v>46154.5</v>
      </c>
      <c r="K308" s="34" t="s">
        <v>104</v>
      </c>
    </row>
    <row r="309" ht="17" customHeight="1" spans="1:11">
      <c r="A309" s="40">
        <f>IF(B309="","",ROW()-3)</f>
        <v>306</v>
      </c>
      <c r="B309" s="41" t="s">
        <v>15</v>
      </c>
      <c r="C309" s="42" t="str">
        <f>IFERROR(VLOOKUP(B309,Config!$B$7:$C$106,2,0),"")</f>
        <v>Director</v>
      </c>
      <c r="D309" s="43" t="s">
        <v>17</v>
      </c>
      <c r="E309" s="44" t="s">
        <v>25</v>
      </c>
      <c r="F309" s="45">
        <v>46113.5</v>
      </c>
      <c r="G309" s="45">
        <v>46113.5</v>
      </c>
      <c r="H309" s="40" t="str">
        <f>IF(F309="","",TEXT(F309,"MMMM YYYY"))</f>
        <v>April 2026</v>
      </c>
      <c r="I309" s="46">
        <v>1</v>
      </c>
      <c r="J309" s="45">
        <v>46138.5</v>
      </c>
      <c r="K309" s="48" t="s">
        <v>106</v>
      </c>
    </row>
  </sheetData>
  <autoFilter xmlns:etc="http://www.wps.cn/officeDocument/2017/etCustomData" ref="A3:K309" etc:filterBottomFollowUsedRange="0">
    <extLst/>
  </autoFilter>
  <mergeCells count="3">
    <mergeCell ref="A1:K1"/>
    <mergeCell ref="A2:K2"/>
    <mergeCell ref="A304:K304"/>
  </mergeCells>
  <dataValidations count="3">
    <dataValidation type="list" allowBlank="1" showErrorMessage="1" errorTitle="Invalid Status" error="Choose: Approved, Pending, or Cancelled." sqref="K307 K308 K4:K303">
      <formula1>"Approved,Pending,Cancelled"</formula1>
    </dataValidation>
    <dataValidation type="list" allowBlank="1" showErrorMessage="1" errorTitle="Invalid Name" error="Select from the dropdown." sqref="B4:B303">
      <formula1>Config!$B$7:$B$106</formula1>
    </dataValidation>
    <dataValidation type="list" allowBlank="1" showErrorMessage="1" errorTitle="Invalid Type" error="Select from the dropdown." sqref="D4:D303">
      <formula1>Config!$E$7:$E$11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X105"/>
  <sheetViews>
    <sheetView zoomScale="70" zoomScaleNormal="70" workbookViewId="0">
      <pane xSplit="3" ySplit="4" topLeftCell="D5" activePane="bottomRight" state="frozen"/>
      <selection/>
      <selection pane="topRight"/>
      <selection pane="bottomLeft"/>
      <selection pane="bottomRight" activeCell="AJ68" sqref="AJ68"/>
    </sheetView>
  </sheetViews>
  <sheetFormatPr defaultColWidth="9" defaultRowHeight="15"/>
  <cols>
    <col min="1" max="1" width="5" customWidth="1"/>
    <col min="2" max="2" width="26" customWidth="1"/>
    <col min="3" max="3" width="24" customWidth="1"/>
    <col min="5" max="5" width="11" customWidth="1"/>
    <col min="6" max="7" width="10" customWidth="1"/>
    <col min="9" max="9" width="11" customWidth="1"/>
    <col min="10" max="11" width="10" customWidth="1"/>
    <col min="13" max="13" width="11" customWidth="1"/>
    <col min="14" max="15" width="10" customWidth="1"/>
    <col min="17" max="17" width="11" customWidth="1"/>
    <col min="18" max="19" width="10" customWidth="1"/>
    <col min="21" max="21" width="11" customWidth="1"/>
    <col min="22" max="23" width="10" customWidth="1"/>
    <col min="24" max="24" width="13" customWidth="1"/>
  </cols>
  <sheetData>
    <row r="1" ht="28" customHeight="1" spans="1:24">
      <c r="A1" s="1" t="s">
        <v>148</v>
      </c>
    </row>
    <row r="2" ht="17" customHeight="1" spans="1:24">
      <c r="A2" s="2" t="s">
        <v>149</v>
      </c>
    </row>
    <row r="3" ht="28" customHeight="1" spans="1:24">
      <c r="A3" s="3" t="s">
        <v>150</v>
      </c>
      <c r="B3" s="3" t="s">
        <v>9</v>
      </c>
      <c r="C3" s="3" t="s">
        <v>10</v>
      </c>
      <c r="D3" s="15" t="str">
        <f>IFERROR(IF(Config!$E$7="","— Not Set —",Config!$E$7),"— Not Set —")</f>
        <v>Casual Leave</v>
      </c>
      <c r="E3" s="16"/>
      <c r="F3" s="16"/>
      <c r="G3" s="16"/>
      <c r="H3" s="17" t="str">
        <f>IFERROR(IF(Config!$E$8="","— Not Set —",Config!$E$8),"— Not Set —")</f>
        <v>Special Leave</v>
      </c>
      <c r="I3" s="18"/>
      <c r="J3" s="18"/>
      <c r="K3" s="18"/>
      <c r="L3" s="3" t="str">
        <f>IFERROR(IF(Config!$E$9="","— Not Set —",Config!$E$9),"— Not Set —")</f>
        <v>— Not Set —</v>
      </c>
      <c r="P3" s="3" t="str">
        <f>IFERROR(IF(Config!$E$10="","— Not Set —",Config!$E$10),"— Not Set —")</f>
        <v>— Not Set —</v>
      </c>
      <c r="T3" s="3" t="str">
        <f>IFERROR(IF(Config!$E$11="","— Not Set —",Config!$E$11),"— Not Set —")</f>
        <v>— Not Set —</v>
      </c>
      <c r="X3" s="3" t="s">
        <v>151</v>
      </c>
    </row>
    <row r="4" ht="40" customHeight="1" spans="1:24">
      <c r="A4" s="3" t="s">
        <v>150</v>
      </c>
      <c r="B4" s="3" t="s">
        <v>9</v>
      </c>
      <c r="C4" s="3" t="s">
        <v>10</v>
      </c>
      <c r="D4" s="4" t="s">
        <v>152</v>
      </c>
      <c r="E4" s="4" t="s">
        <v>153</v>
      </c>
      <c r="F4" s="4" t="s">
        <v>154</v>
      </c>
      <c r="G4" s="3" t="s">
        <v>155</v>
      </c>
      <c r="H4" s="4" t="s">
        <v>152</v>
      </c>
      <c r="I4" s="4" t="s">
        <v>153</v>
      </c>
      <c r="J4" s="4" t="s">
        <v>154</v>
      </c>
      <c r="K4" s="3" t="s">
        <v>155</v>
      </c>
      <c r="L4" s="4" t="s">
        <v>152</v>
      </c>
      <c r="M4" s="4" t="s">
        <v>153</v>
      </c>
      <c r="N4" s="4" t="s">
        <v>154</v>
      </c>
      <c r="O4" s="3" t="s">
        <v>155</v>
      </c>
      <c r="P4" s="4" t="s">
        <v>152</v>
      </c>
      <c r="Q4" s="4" t="s">
        <v>153</v>
      </c>
      <c r="R4" s="4" t="s">
        <v>154</v>
      </c>
      <c r="S4" s="3" t="s">
        <v>155</v>
      </c>
      <c r="T4" s="4" t="s">
        <v>152</v>
      </c>
      <c r="U4" s="4" t="s">
        <v>153</v>
      </c>
      <c r="V4" s="4" t="s">
        <v>154</v>
      </c>
      <c r="W4" s="3" t="s">
        <v>155</v>
      </c>
      <c r="X4" s="3" t="s">
        <v>156</v>
      </c>
    </row>
    <row r="5" ht="17" customHeight="1" spans="1:24">
      <c r="A5" s="5">
        <f t="shared" ref="A5:A68" si="0">IF(B5="","",ROW()-4)</f>
        <v>1</v>
      </c>
      <c r="B5" s="6" t="str">
        <f>IF(Config!$B$7="","",Config!$B$7)</f>
        <v>Hasan Mahmud</v>
      </c>
      <c r="C5" s="7" t="str">
        <f>IF(Config!$B$7="","",Config!$C$7)</f>
        <v>Director</v>
      </c>
      <c r="D5" s="19">
        <f>IF($B5="","",IFERROR(Config!$F$7,0))</f>
        <v>10</v>
      </c>
      <c r="E5" s="10">
        <f>IF($B5="","",IF(Config!$E$7="",0,SUMIFS('Leave Records'!$I:$I,'Leave Records'!$B:$B,$B5,'Leave Records'!$D:$D,Config!$E$7,'Leave Records'!$K:$K,"Approved")))</f>
        <v>0</v>
      </c>
      <c r="F5" s="20">
        <f>IF($B5="","",IF(Config!$E$7="",0,SUMIFS('Leave Records'!$I:$I,'Leave Records'!$B:$B,$B5,'Leave Records'!$D:$D,Config!$E$7,'Leave Records'!$K:$K,"Pending")))</f>
        <v>0</v>
      </c>
      <c r="G5" s="8">
        <f t="shared" ref="G5:G68" si="1">IF($B5="","",D5-E5)</f>
        <v>10</v>
      </c>
      <c r="H5" s="19">
        <f>IF($B5="","",IFERROR(Config!$F$8,0))</f>
        <v>5</v>
      </c>
      <c r="I5" s="10">
        <f>IF($B5="","",IF(Config!$E$8="",0,SUMIFS('Leave Records'!$I:$I,'Leave Records'!$B:$B,$B5,'Leave Records'!$D:$D,Config!$E$8,'Leave Records'!$K:$K,"Approved")))</f>
        <v>0</v>
      </c>
      <c r="J5" s="20">
        <f>IF($B5="","",IF(Config!$E$8="",0,SUMIFS('Leave Records'!$I:$I,'Leave Records'!$B:$B,$B5,'Leave Records'!$D:$D,Config!$E$8,'Leave Records'!$K:$K,"Pending")))</f>
        <v>0</v>
      </c>
      <c r="K5" s="8">
        <f t="shared" ref="K5:K68" si="2">IF($B5="","",H5-I5)</f>
        <v>5</v>
      </c>
      <c r="L5" s="19">
        <f>IF($B5="","",IFERROR(Config!$F$9,0))</f>
        <v>0</v>
      </c>
      <c r="M5" s="10">
        <f>IF($B5="","",IF(Config!$E$9="",0,SUMIFS('Leave Records'!$I:$I,'Leave Records'!$B:$B,$B5,'Leave Records'!$D:$D,Config!$E$9,'Leave Records'!$K:$K,"Approved")))</f>
        <v>0</v>
      </c>
      <c r="N5" s="20">
        <f>IF($B5="","",IF(Config!$E$9="",0,SUMIFS('Leave Records'!$I:$I,'Leave Records'!$B:$B,$B5,'Leave Records'!$D:$D,Config!$E$9,'Leave Records'!$K:$K,"Pending")))</f>
        <v>0</v>
      </c>
      <c r="O5" s="8">
        <f t="shared" ref="O5:O68" si="3">IF($B5="","",L5-M5)</f>
        <v>0</v>
      </c>
      <c r="P5" s="19">
        <f>IF($B5="","",IFERROR(Config!$F$10,0))</f>
        <v>0</v>
      </c>
      <c r="Q5" s="10">
        <f>IF($B5="","",IF(Config!$E$10="",0,SUMIFS('Leave Records'!$I:$I,'Leave Records'!$B:$B,$B5,'Leave Records'!$D:$D,Config!$E$10,'Leave Records'!$K:$K,"Approved")))</f>
        <v>0</v>
      </c>
      <c r="R5" s="20">
        <f>IF($B5="","",IF(Config!$E$10="",0,SUMIFS('Leave Records'!$I:$I,'Leave Records'!$B:$B,$B5,'Leave Records'!$D:$D,Config!$E$10,'Leave Records'!$K:$K,"Pending")))</f>
        <v>0</v>
      </c>
      <c r="S5" s="8">
        <f t="shared" ref="S5:S68" si="4">IF($B5="","",P5-Q5)</f>
        <v>0</v>
      </c>
      <c r="T5" s="19">
        <f>IF($B5="","",IFERROR(Config!$F$11,0))</f>
        <v>0</v>
      </c>
      <c r="U5" s="10">
        <f>IF($B5="","",IF(Config!$E$11="",0,SUMIFS('Leave Records'!$I:$I,'Leave Records'!$B:$B,$B5,'Leave Records'!$D:$D,Config!$E$11,'Leave Records'!$K:$K,"Approved")))</f>
        <v>0</v>
      </c>
      <c r="V5" s="20">
        <f>IF($B5="","",IF(Config!$E$11="",0,SUMIFS('Leave Records'!$I:$I,'Leave Records'!$B:$B,$B5,'Leave Records'!$D:$D,Config!$E$11,'Leave Records'!$K:$K,"Pending")))</f>
        <v>0</v>
      </c>
      <c r="W5" s="8">
        <f t="shared" ref="W5:W68" si="5">IF($B5="","",T5-U5)</f>
        <v>0</v>
      </c>
      <c r="X5" s="11">
        <f t="shared" ref="X5:X68" si="6">IF($B5="","",E5+I5+M5+Q5+U5)</f>
        <v>0</v>
      </c>
    </row>
    <row r="6" ht="17" customHeight="1" spans="1:24">
      <c r="A6" s="5">
        <f t="shared" si="0"/>
        <v>2</v>
      </c>
      <c r="B6" s="12" t="str">
        <f>IF(Config!$B$8="","",Config!$B$8)</f>
        <v>Hasina Mohammed</v>
      </c>
      <c r="C6" s="13" t="str">
        <f>IF(Config!$B$8="","",Config!$C$8)</f>
        <v>Principal</v>
      </c>
      <c r="D6" s="19">
        <f>IF($B6="","",IFERROR(Config!$F$7,0))</f>
        <v>10</v>
      </c>
      <c r="E6" s="21">
        <f>IF($B6="","",IF(Config!$E$7="",0,SUMIFS('Leave Records'!$I:$I,'Leave Records'!$B:$B,$B6,'Leave Records'!$D:$D,Config!$E$7,'Leave Records'!$K:$K,"Approved")))</f>
        <v>2</v>
      </c>
      <c r="F6" s="22">
        <f>IF($B6="","",IF(Config!$E$7="",0,SUMIFS('Leave Records'!$I:$I,'Leave Records'!$B:$B,$B6,'Leave Records'!$D:$D,Config!$E$7,'Leave Records'!$K:$K,"Pending")))</f>
        <v>0</v>
      </c>
      <c r="G6" s="9">
        <f t="shared" si="1"/>
        <v>8</v>
      </c>
      <c r="H6" s="19">
        <f>IF($B6="","",IFERROR(Config!$F$8,0))</f>
        <v>5</v>
      </c>
      <c r="I6" s="21">
        <f>IF($B6="","",IF(Config!$E$8="",0,SUMIFS('Leave Records'!$I:$I,'Leave Records'!$B:$B,$B6,'Leave Records'!$D:$D,Config!$E$8,'Leave Records'!$K:$K,"Approved")))</f>
        <v>0</v>
      </c>
      <c r="J6" s="22">
        <f>IF($B6="","",IF(Config!$E$8="",0,SUMIFS('Leave Records'!$I:$I,'Leave Records'!$B:$B,$B6,'Leave Records'!$D:$D,Config!$E$8,'Leave Records'!$K:$K,"Pending")))</f>
        <v>0</v>
      </c>
      <c r="K6" s="9">
        <f t="shared" si="2"/>
        <v>5</v>
      </c>
      <c r="L6" s="19">
        <f>IF($B6="","",IFERROR(Config!$F$9,0))</f>
        <v>0</v>
      </c>
      <c r="M6" s="21">
        <f>IF($B6="","",IF(Config!$E$9="",0,SUMIFS('Leave Records'!$I:$I,'Leave Records'!$B:$B,$B6,'Leave Records'!$D:$D,Config!$E$9,'Leave Records'!$K:$K,"Approved")))</f>
        <v>0</v>
      </c>
      <c r="N6" s="22">
        <f>IF($B6="","",IF(Config!$E$9="",0,SUMIFS('Leave Records'!$I:$I,'Leave Records'!$B:$B,$B6,'Leave Records'!$D:$D,Config!$E$9,'Leave Records'!$K:$K,"Pending")))</f>
        <v>0</v>
      </c>
      <c r="O6" s="9">
        <f t="shared" si="3"/>
        <v>0</v>
      </c>
      <c r="P6" s="19">
        <f>IF($B6="","",IFERROR(Config!$F$10,0))</f>
        <v>0</v>
      </c>
      <c r="Q6" s="21">
        <f>IF($B6="","",IF(Config!$E$10="",0,SUMIFS('Leave Records'!$I:$I,'Leave Records'!$B:$B,$B6,'Leave Records'!$D:$D,Config!$E$10,'Leave Records'!$K:$K,"Approved")))</f>
        <v>0</v>
      </c>
      <c r="R6" s="22">
        <f>IF($B6="","",IF(Config!$E$10="",0,SUMIFS('Leave Records'!$I:$I,'Leave Records'!$B:$B,$B6,'Leave Records'!$D:$D,Config!$E$10,'Leave Records'!$K:$K,"Pending")))</f>
        <v>0</v>
      </c>
      <c r="S6" s="9">
        <f t="shared" si="4"/>
        <v>0</v>
      </c>
      <c r="T6" s="19">
        <f>IF($B6="","",IFERROR(Config!$F$11,0))</f>
        <v>0</v>
      </c>
      <c r="U6" s="21">
        <f>IF($B6="","",IF(Config!$E$11="",0,SUMIFS('Leave Records'!$I:$I,'Leave Records'!$B:$B,$B6,'Leave Records'!$D:$D,Config!$E$11,'Leave Records'!$K:$K,"Approved")))</f>
        <v>0</v>
      </c>
      <c r="V6" s="22">
        <f>IF($B6="","",IF(Config!$E$11="",0,SUMIFS('Leave Records'!$I:$I,'Leave Records'!$B:$B,$B6,'Leave Records'!$D:$D,Config!$E$11,'Leave Records'!$K:$K,"Pending")))</f>
        <v>0</v>
      </c>
      <c r="W6" s="9">
        <f t="shared" si="5"/>
        <v>0</v>
      </c>
      <c r="X6" s="14">
        <f t="shared" si="6"/>
        <v>2</v>
      </c>
    </row>
    <row r="7" ht="17" customHeight="1" spans="1:24">
      <c r="A7" s="5">
        <f t="shared" si="0"/>
        <v>3</v>
      </c>
      <c r="B7" s="6" t="str">
        <f>IF(Config!$B$9="","",Config!$B$9)</f>
        <v>Nusrat Jahan Ira</v>
      </c>
      <c r="C7" s="7" t="str">
        <f>IF(Config!$B$9="","",Config!$C$9)</f>
        <v/>
      </c>
      <c r="D7" s="19">
        <f>IF($B7="","",IFERROR(Config!$F$7,0))</f>
        <v>10</v>
      </c>
      <c r="E7" s="10">
        <f>IF($B7="","",IF(Config!$E$7="",0,SUMIFS('Leave Records'!$I:$I,'Leave Records'!$B:$B,$B7,'Leave Records'!$D:$D,Config!$E$7,'Leave Records'!$K:$K,"Approved")))</f>
        <v>0</v>
      </c>
      <c r="F7" s="20">
        <f>IF($B7="","",IF(Config!$E$7="",0,SUMIFS('Leave Records'!$I:$I,'Leave Records'!$B:$B,$B7,'Leave Records'!$D:$D,Config!$E$7,'Leave Records'!$K:$K,"Pending")))</f>
        <v>0</v>
      </c>
      <c r="G7" s="8">
        <f t="shared" si="1"/>
        <v>10</v>
      </c>
      <c r="H7" s="19">
        <f>IF($B7="","",IFERROR(Config!$F$8,0))</f>
        <v>5</v>
      </c>
      <c r="I7" s="10">
        <f>IF($B7="","",IF(Config!$E$8="",0,SUMIFS('Leave Records'!$I:$I,'Leave Records'!$B:$B,$B7,'Leave Records'!$D:$D,Config!$E$8,'Leave Records'!$K:$K,"Approved")))</f>
        <v>0</v>
      </c>
      <c r="J7" s="20">
        <f>IF($B7="","",IF(Config!$E$8="",0,SUMIFS('Leave Records'!$I:$I,'Leave Records'!$B:$B,$B7,'Leave Records'!$D:$D,Config!$E$8,'Leave Records'!$K:$K,"Pending")))</f>
        <v>0</v>
      </c>
      <c r="K7" s="8">
        <f t="shared" si="2"/>
        <v>5</v>
      </c>
      <c r="L7" s="19">
        <f>IF($B7="","",IFERROR(Config!$F$9,0))</f>
        <v>0</v>
      </c>
      <c r="M7" s="10">
        <f>IF($B7="","",IF(Config!$E$9="",0,SUMIFS('Leave Records'!$I:$I,'Leave Records'!$B:$B,$B7,'Leave Records'!$D:$D,Config!$E$9,'Leave Records'!$K:$K,"Approved")))</f>
        <v>0</v>
      </c>
      <c r="N7" s="20">
        <f>IF($B7="","",IF(Config!$E$9="",0,SUMIFS('Leave Records'!$I:$I,'Leave Records'!$B:$B,$B7,'Leave Records'!$D:$D,Config!$E$9,'Leave Records'!$K:$K,"Pending")))</f>
        <v>0</v>
      </c>
      <c r="O7" s="8">
        <f t="shared" si="3"/>
        <v>0</v>
      </c>
      <c r="P7" s="19">
        <f>IF($B7="","",IFERROR(Config!$F$10,0))</f>
        <v>0</v>
      </c>
      <c r="Q7" s="10">
        <f>IF($B7="","",IF(Config!$E$10="",0,SUMIFS('Leave Records'!$I:$I,'Leave Records'!$B:$B,$B7,'Leave Records'!$D:$D,Config!$E$10,'Leave Records'!$K:$K,"Approved")))</f>
        <v>0</v>
      </c>
      <c r="R7" s="20">
        <f>IF($B7="","",IF(Config!$E$10="",0,SUMIFS('Leave Records'!$I:$I,'Leave Records'!$B:$B,$B7,'Leave Records'!$D:$D,Config!$E$10,'Leave Records'!$K:$K,"Pending")))</f>
        <v>0</v>
      </c>
      <c r="S7" s="8">
        <f t="shared" si="4"/>
        <v>0</v>
      </c>
      <c r="T7" s="19">
        <f>IF($B7="","",IFERROR(Config!$F$11,0))</f>
        <v>0</v>
      </c>
      <c r="U7" s="10">
        <f>IF($B7="","",IF(Config!$E$11="",0,SUMIFS('Leave Records'!$I:$I,'Leave Records'!$B:$B,$B7,'Leave Records'!$D:$D,Config!$E$11,'Leave Records'!$K:$K,"Approved")))</f>
        <v>0</v>
      </c>
      <c r="V7" s="20">
        <f>IF($B7="","",IF(Config!$E$11="",0,SUMIFS('Leave Records'!$I:$I,'Leave Records'!$B:$B,$B7,'Leave Records'!$D:$D,Config!$E$11,'Leave Records'!$K:$K,"Pending")))</f>
        <v>0</v>
      </c>
      <c r="W7" s="8">
        <f t="shared" si="5"/>
        <v>0</v>
      </c>
      <c r="X7" s="11">
        <f t="shared" si="6"/>
        <v>0</v>
      </c>
    </row>
    <row r="8" ht="17" customHeight="1" spans="1:24">
      <c r="A8" s="5">
        <f t="shared" si="0"/>
        <v>4</v>
      </c>
      <c r="B8" s="12" t="str">
        <f>IF(Config!$B$10="","",Config!$B$10)</f>
        <v>Sadia Sultana Rima</v>
      </c>
      <c r="C8" s="13" t="str">
        <f>IF(Config!$B$10="","",Config!$C$10)</f>
        <v>Preschool Co-ordinator</v>
      </c>
      <c r="D8" s="19">
        <f>IF($B8="","",IFERROR(Config!$F$7,0))</f>
        <v>10</v>
      </c>
      <c r="E8" s="21">
        <f>IF($B8="","",IF(Config!$E$7="",0,SUMIFS('Leave Records'!$I:$I,'Leave Records'!$B:$B,$B8,'Leave Records'!$D:$D,Config!$E$7,'Leave Records'!$K:$K,"Approved")))</f>
        <v>2</v>
      </c>
      <c r="F8" s="22">
        <f>IF($B8="","",IF(Config!$E$7="",0,SUMIFS('Leave Records'!$I:$I,'Leave Records'!$B:$B,$B8,'Leave Records'!$D:$D,Config!$E$7,'Leave Records'!$K:$K,"Pending")))</f>
        <v>0</v>
      </c>
      <c r="G8" s="9">
        <f t="shared" si="1"/>
        <v>8</v>
      </c>
      <c r="H8" s="19">
        <f>IF($B8="","",IFERROR(Config!$F$8,0))</f>
        <v>5</v>
      </c>
      <c r="I8" s="21">
        <f>IF($B8="","",IF(Config!$E$8="",0,SUMIFS('Leave Records'!$I:$I,'Leave Records'!$B:$B,$B8,'Leave Records'!$D:$D,Config!$E$8,'Leave Records'!$K:$K,"Approved")))</f>
        <v>1</v>
      </c>
      <c r="J8" s="22">
        <f>IF($B8="","",IF(Config!$E$8="",0,SUMIFS('Leave Records'!$I:$I,'Leave Records'!$B:$B,$B8,'Leave Records'!$D:$D,Config!$E$8,'Leave Records'!$K:$K,"Pending")))</f>
        <v>0</v>
      </c>
      <c r="K8" s="9">
        <f t="shared" si="2"/>
        <v>4</v>
      </c>
      <c r="L8" s="19">
        <f>IF($B8="","",IFERROR(Config!$F$9,0))</f>
        <v>0</v>
      </c>
      <c r="M8" s="21">
        <f>IF($B8="","",IF(Config!$E$9="",0,SUMIFS('Leave Records'!$I:$I,'Leave Records'!$B:$B,$B8,'Leave Records'!$D:$D,Config!$E$9,'Leave Records'!$K:$K,"Approved")))</f>
        <v>0</v>
      </c>
      <c r="N8" s="22">
        <f>IF($B8="","",IF(Config!$E$9="",0,SUMIFS('Leave Records'!$I:$I,'Leave Records'!$B:$B,$B8,'Leave Records'!$D:$D,Config!$E$9,'Leave Records'!$K:$K,"Pending")))</f>
        <v>0</v>
      </c>
      <c r="O8" s="9">
        <f t="shared" si="3"/>
        <v>0</v>
      </c>
      <c r="P8" s="19">
        <f>IF($B8="","",IFERROR(Config!$F$10,0))</f>
        <v>0</v>
      </c>
      <c r="Q8" s="21">
        <f>IF($B8="","",IF(Config!$E$10="",0,SUMIFS('Leave Records'!$I:$I,'Leave Records'!$B:$B,$B8,'Leave Records'!$D:$D,Config!$E$10,'Leave Records'!$K:$K,"Approved")))</f>
        <v>0</v>
      </c>
      <c r="R8" s="22">
        <f>IF($B8="","",IF(Config!$E$10="",0,SUMIFS('Leave Records'!$I:$I,'Leave Records'!$B:$B,$B8,'Leave Records'!$D:$D,Config!$E$10,'Leave Records'!$K:$K,"Pending")))</f>
        <v>0</v>
      </c>
      <c r="S8" s="9">
        <f t="shared" si="4"/>
        <v>0</v>
      </c>
      <c r="T8" s="19">
        <f>IF($B8="","",IFERROR(Config!$F$11,0))</f>
        <v>0</v>
      </c>
      <c r="U8" s="21">
        <f>IF($B8="","",IF(Config!$E$11="",0,SUMIFS('Leave Records'!$I:$I,'Leave Records'!$B:$B,$B8,'Leave Records'!$D:$D,Config!$E$11,'Leave Records'!$K:$K,"Approved")))</f>
        <v>0</v>
      </c>
      <c r="V8" s="22">
        <f>IF($B8="","",IF(Config!$E$11="",0,SUMIFS('Leave Records'!$I:$I,'Leave Records'!$B:$B,$B8,'Leave Records'!$D:$D,Config!$E$11,'Leave Records'!$K:$K,"Pending")))</f>
        <v>0</v>
      </c>
      <c r="W8" s="9">
        <f t="shared" si="5"/>
        <v>0</v>
      </c>
      <c r="X8" s="14">
        <f t="shared" si="6"/>
        <v>3</v>
      </c>
    </row>
    <row r="9" ht="17" customHeight="1" spans="1:24">
      <c r="A9" s="5">
        <f t="shared" si="0"/>
        <v>5</v>
      </c>
      <c r="B9" s="6" t="str">
        <f>IF(Config!$B$11="","",Config!$B$11)</f>
        <v>Fatema Akter Mili</v>
      </c>
      <c r="C9" s="7" t="str">
        <f>IF(Config!$B$11="","",Config!$C$11)</f>
        <v/>
      </c>
      <c r="D9" s="19">
        <f>IF($B9="","",IFERROR(Config!$F$7,0))</f>
        <v>10</v>
      </c>
      <c r="E9" s="10">
        <f>IF($B9="","",IF(Config!$E$7="",0,SUMIFS('Leave Records'!$I:$I,'Leave Records'!$B:$B,$B9,'Leave Records'!$D:$D,Config!$E$7,'Leave Records'!$K:$K,"Approved")))</f>
        <v>0</v>
      </c>
      <c r="F9" s="20">
        <f>IF($B9="","",IF(Config!$E$7="",0,SUMIFS('Leave Records'!$I:$I,'Leave Records'!$B:$B,$B9,'Leave Records'!$D:$D,Config!$E$7,'Leave Records'!$K:$K,"Pending")))</f>
        <v>0</v>
      </c>
      <c r="G9" s="8">
        <f t="shared" si="1"/>
        <v>10</v>
      </c>
      <c r="H9" s="19">
        <f>IF($B9="","",IFERROR(Config!$F$8,0))</f>
        <v>5</v>
      </c>
      <c r="I9" s="10">
        <f>IF($B9="","",IF(Config!$E$8="",0,SUMIFS('Leave Records'!$I:$I,'Leave Records'!$B:$B,$B9,'Leave Records'!$D:$D,Config!$E$8,'Leave Records'!$K:$K,"Approved")))</f>
        <v>0</v>
      </c>
      <c r="J9" s="20">
        <f>IF($B9="","",IF(Config!$E$8="",0,SUMIFS('Leave Records'!$I:$I,'Leave Records'!$B:$B,$B9,'Leave Records'!$D:$D,Config!$E$8,'Leave Records'!$K:$K,"Pending")))</f>
        <v>0</v>
      </c>
      <c r="K9" s="8">
        <f t="shared" si="2"/>
        <v>5</v>
      </c>
      <c r="L9" s="19">
        <f>IF($B9="","",IFERROR(Config!$F$9,0))</f>
        <v>0</v>
      </c>
      <c r="M9" s="10">
        <f>IF($B9="","",IF(Config!$E$9="",0,SUMIFS('Leave Records'!$I:$I,'Leave Records'!$B:$B,$B9,'Leave Records'!$D:$D,Config!$E$9,'Leave Records'!$K:$K,"Approved")))</f>
        <v>0</v>
      </c>
      <c r="N9" s="20">
        <f>IF($B9="","",IF(Config!$E$9="",0,SUMIFS('Leave Records'!$I:$I,'Leave Records'!$B:$B,$B9,'Leave Records'!$D:$D,Config!$E$9,'Leave Records'!$K:$K,"Pending")))</f>
        <v>0</v>
      </c>
      <c r="O9" s="8">
        <f t="shared" si="3"/>
        <v>0</v>
      </c>
      <c r="P9" s="19">
        <f>IF($B9="","",IFERROR(Config!$F$10,0))</f>
        <v>0</v>
      </c>
      <c r="Q9" s="10">
        <f>IF($B9="","",IF(Config!$E$10="",0,SUMIFS('Leave Records'!$I:$I,'Leave Records'!$B:$B,$B9,'Leave Records'!$D:$D,Config!$E$10,'Leave Records'!$K:$K,"Approved")))</f>
        <v>0</v>
      </c>
      <c r="R9" s="20">
        <f>IF($B9="","",IF(Config!$E$10="",0,SUMIFS('Leave Records'!$I:$I,'Leave Records'!$B:$B,$B9,'Leave Records'!$D:$D,Config!$E$10,'Leave Records'!$K:$K,"Pending")))</f>
        <v>0</v>
      </c>
      <c r="S9" s="8">
        <f t="shared" si="4"/>
        <v>0</v>
      </c>
      <c r="T9" s="19">
        <f>IF($B9="","",IFERROR(Config!$F$11,0))</f>
        <v>0</v>
      </c>
      <c r="U9" s="10">
        <f>IF($B9="","",IF(Config!$E$11="",0,SUMIFS('Leave Records'!$I:$I,'Leave Records'!$B:$B,$B9,'Leave Records'!$D:$D,Config!$E$11,'Leave Records'!$K:$K,"Approved")))</f>
        <v>0</v>
      </c>
      <c r="V9" s="20">
        <f>IF($B9="","",IF(Config!$E$11="",0,SUMIFS('Leave Records'!$I:$I,'Leave Records'!$B:$B,$B9,'Leave Records'!$D:$D,Config!$E$11,'Leave Records'!$K:$K,"Pending")))</f>
        <v>0</v>
      </c>
      <c r="W9" s="8">
        <f t="shared" si="5"/>
        <v>0</v>
      </c>
      <c r="X9" s="11">
        <f t="shared" si="6"/>
        <v>0</v>
      </c>
    </row>
    <row r="10" ht="17" customHeight="1" spans="1:24">
      <c r="A10" s="5">
        <f t="shared" si="0"/>
        <v>6</v>
      </c>
      <c r="B10" s="12" t="str">
        <f>IF(Config!$B$12="","",Config!$B$12)</f>
        <v>Farida Yesmin Tamanna</v>
      </c>
      <c r="C10" s="13" t="str">
        <f>IF(Config!$B$12="","",Config!$C$12)</f>
        <v/>
      </c>
      <c r="D10" s="19">
        <f>IF($B10="","",IFERROR(Config!$F$7,0))</f>
        <v>10</v>
      </c>
      <c r="E10" s="21">
        <f>IF($B10="","",IF(Config!$E$7="",0,SUMIFS('Leave Records'!$I:$I,'Leave Records'!$B:$B,$B10,'Leave Records'!$D:$D,Config!$E$7,'Leave Records'!$K:$K,"Approved")))</f>
        <v>2</v>
      </c>
      <c r="F10" s="22">
        <f>IF($B10="","",IF(Config!$E$7="",0,SUMIFS('Leave Records'!$I:$I,'Leave Records'!$B:$B,$B10,'Leave Records'!$D:$D,Config!$E$7,'Leave Records'!$K:$K,"Pending")))</f>
        <v>0</v>
      </c>
      <c r="G10" s="9">
        <f t="shared" si="1"/>
        <v>8</v>
      </c>
      <c r="H10" s="19">
        <f>IF($B10="","",IFERROR(Config!$F$8,0))</f>
        <v>5</v>
      </c>
      <c r="I10" s="21">
        <f>IF($B10="","",IF(Config!$E$8="",0,SUMIFS('Leave Records'!$I:$I,'Leave Records'!$B:$B,$B10,'Leave Records'!$D:$D,Config!$E$8,'Leave Records'!$K:$K,"Approved")))</f>
        <v>0</v>
      </c>
      <c r="J10" s="22">
        <f>IF($B10="","",IF(Config!$E$8="",0,SUMIFS('Leave Records'!$I:$I,'Leave Records'!$B:$B,$B10,'Leave Records'!$D:$D,Config!$E$8,'Leave Records'!$K:$K,"Pending")))</f>
        <v>0</v>
      </c>
      <c r="K10" s="9">
        <f t="shared" si="2"/>
        <v>5</v>
      </c>
      <c r="L10" s="19">
        <f>IF($B10="","",IFERROR(Config!$F$9,0))</f>
        <v>0</v>
      </c>
      <c r="M10" s="21">
        <f>IF($B10="","",IF(Config!$E$9="",0,SUMIFS('Leave Records'!$I:$I,'Leave Records'!$B:$B,$B10,'Leave Records'!$D:$D,Config!$E$9,'Leave Records'!$K:$K,"Approved")))</f>
        <v>0</v>
      </c>
      <c r="N10" s="22">
        <f>IF($B10="","",IF(Config!$E$9="",0,SUMIFS('Leave Records'!$I:$I,'Leave Records'!$B:$B,$B10,'Leave Records'!$D:$D,Config!$E$9,'Leave Records'!$K:$K,"Pending")))</f>
        <v>0</v>
      </c>
      <c r="O10" s="9">
        <f t="shared" si="3"/>
        <v>0</v>
      </c>
      <c r="P10" s="19">
        <f>IF($B10="","",IFERROR(Config!$F$10,0))</f>
        <v>0</v>
      </c>
      <c r="Q10" s="21">
        <f>IF($B10="","",IF(Config!$E$10="",0,SUMIFS('Leave Records'!$I:$I,'Leave Records'!$B:$B,$B10,'Leave Records'!$D:$D,Config!$E$10,'Leave Records'!$K:$K,"Approved")))</f>
        <v>0</v>
      </c>
      <c r="R10" s="22">
        <f>IF($B10="","",IF(Config!$E$10="",0,SUMIFS('Leave Records'!$I:$I,'Leave Records'!$B:$B,$B10,'Leave Records'!$D:$D,Config!$E$10,'Leave Records'!$K:$K,"Pending")))</f>
        <v>0</v>
      </c>
      <c r="S10" s="9">
        <f t="shared" si="4"/>
        <v>0</v>
      </c>
      <c r="T10" s="19">
        <f>IF($B10="","",IFERROR(Config!$F$11,0))</f>
        <v>0</v>
      </c>
      <c r="U10" s="21">
        <f>IF($B10="","",IF(Config!$E$11="",0,SUMIFS('Leave Records'!$I:$I,'Leave Records'!$B:$B,$B10,'Leave Records'!$D:$D,Config!$E$11,'Leave Records'!$K:$K,"Approved")))</f>
        <v>0</v>
      </c>
      <c r="V10" s="22">
        <f>IF($B10="","",IF(Config!$E$11="",0,SUMIFS('Leave Records'!$I:$I,'Leave Records'!$B:$B,$B10,'Leave Records'!$D:$D,Config!$E$11,'Leave Records'!$K:$K,"Pending")))</f>
        <v>0</v>
      </c>
      <c r="W10" s="9">
        <f t="shared" si="5"/>
        <v>0</v>
      </c>
      <c r="X10" s="14">
        <f t="shared" si="6"/>
        <v>2</v>
      </c>
    </row>
    <row r="11" ht="17" customHeight="1" spans="1:24">
      <c r="A11" s="5">
        <f t="shared" si="0"/>
        <v>7</v>
      </c>
      <c r="B11" s="6" t="str">
        <f>IF(Config!$B$13="","",Config!$B$13)</f>
        <v>Shalina Akter Eity</v>
      </c>
      <c r="C11" s="7" t="str">
        <f>IF(Config!$B$13="","",Config!$C$13)</f>
        <v/>
      </c>
      <c r="D11" s="19">
        <f>IF($B11="","",IFERROR(Config!$F$7,0))</f>
        <v>10</v>
      </c>
      <c r="E11" s="10">
        <f>IF($B11="","",IF(Config!$E$7="",0,SUMIFS('Leave Records'!$I:$I,'Leave Records'!$B:$B,$B11,'Leave Records'!$D:$D,Config!$E$7,'Leave Records'!$K:$K,"Approved")))</f>
        <v>0</v>
      </c>
      <c r="F11" s="20">
        <f>IF($B11="","",IF(Config!$E$7="",0,SUMIFS('Leave Records'!$I:$I,'Leave Records'!$B:$B,$B11,'Leave Records'!$D:$D,Config!$E$7,'Leave Records'!$K:$K,"Pending")))</f>
        <v>0</v>
      </c>
      <c r="G11" s="8">
        <f t="shared" si="1"/>
        <v>10</v>
      </c>
      <c r="H11" s="19">
        <f>IF($B11="","",IFERROR(Config!$F$8,0))</f>
        <v>5</v>
      </c>
      <c r="I11" s="10">
        <f>IF($B11="","",IF(Config!$E$8="",0,SUMIFS('Leave Records'!$I:$I,'Leave Records'!$B:$B,$B11,'Leave Records'!$D:$D,Config!$E$8,'Leave Records'!$K:$K,"Approved")))</f>
        <v>0</v>
      </c>
      <c r="J11" s="20">
        <f>IF($B11="","",IF(Config!$E$8="",0,SUMIFS('Leave Records'!$I:$I,'Leave Records'!$B:$B,$B11,'Leave Records'!$D:$D,Config!$E$8,'Leave Records'!$K:$K,"Pending")))</f>
        <v>0</v>
      </c>
      <c r="K11" s="8">
        <f t="shared" si="2"/>
        <v>5</v>
      </c>
      <c r="L11" s="19">
        <f>IF($B11="","",IFERROR(Config!$F$9,0))</f>
        <v>0</v>
      </c>
      <c r="M11" s="10">
        <f>IF($B11="","",IF(Config!$E$9="",0,SUMIFS('Leave Records'!$I:$I,'Leave Records'!$B:$B,$B11,'Leave Records'!$D:$D,Config!$E$9,'Leave Records'!$K:$K,"Approved")))</f>
        <v>0</v>
      </c>
      <c r="N11" s="20">
        <f>IF($B11="","",IF(Config!$E$9="",0,SUMIFS('Leave Records'!$I:$I,'Leave Records'!$B:$B,$B11,'Leave Records'!$D:$D,Config!$E$9,'Leave Records'!$K:$K,"Pending")))</f>
        <v>0</v>
      </c>
      <c r="O11" s="8">
        <f t="shared" si="3"/>
        <v>0</v>
      </c>
      <c r="P11" s="19">
        <f>IF($B11="","",IFERROR(Config!$F$10,0))</f>
        <v>0</v>
      </c>
      <c r="Q11" s="10">
        <f>IF($B11="","",IF(Config!$E$10="",0,SUMIFS('Leave Records'!$I:$I,'Leave Records'!$B:$B,$B11,'Leave Records'!$D:$D,Config!$E$10,'Leave Records'!$K:$K,"Approved")))</f>
        <v>0</v>
      </c>
      <c r="R11" s="20">
        <f>IF($B11="","",IF(Config!$E$10="",0,SUMIFS('Leave Records'!$I:$I,'Leave Records'!$B:$B,$B11,'Leave Records'!$D:$D,Config!$E$10,'Leave Records'!$K:$K,"Pending")))</f>
        <v>0</v>
      </c>
      <c r="S11" s="8">
        <f t="shared" si="4"/>
        <v>0</v>
      </c>
      <c r="T11" s="19">
        <f>IF($B11="","",IFERROR(Config!$F$11,0))</f>
        <v>0</v>
      </c>
      <c r="U11" s="10">
        <f>IF($B11="","",IF(Config!$E$11="",0,SUMIFS('Leave Records'!$I:$I,'Leave Records'!$B:$B,$B11,'Leave Records'!$D:$D,Config!$E$11,'Leave Records'!$K:$K,"Approved")))</f>
        <v>0</v>
      </c>
      <c r="V11" s="20">
        <f>IF($B11="","",IF(Config!$E$11="",0,SUMIFS('Leave Records'!$I:$I,'Leave Records'!$B:$B,$B11,'Leave Records'!$D:$D,Config!$E$11,'Leave Records'!$K:$K,"Pending")))</f>
        <v>0</v>
      </c>
      <c r="W11" s="8">
        <f t="shared" si="5"/>
        <v>0</v>
      </c>
      <c r="X11" s="11">
        <f t="shared" si="6"/>
        <v>0</v>
      </c>
    </row>
    <row r="12" ht="17" customHeight="1" spans="1:24">
      <c r="A12" s="5">
        <f t="shared" si="0"/>
        <v>8</v>
      </c>
      <c r="B12" s="12" t="str">
        <f>IF(Config!$B$14="","",Config!$B$14)</f>
        <v>Rabia Sultana Prity</v>
      </c>
      <c r="C12" s="13" t="str">
        <f>IF(Config!$B$14="","",Config!$C$14)</f>
        <v>Class Teacher</v>
      </c>
      <c r="D12" s="19">
        <f>IF($B12="","",IFERROR(Config!$F$7,0))</f>
        <v>10</v>
      </c>
      <c r="E12" s="21">
        <f>IF($B12="","",IF(Config!$E$7="",0,SUMIFS('Leave Records'!$I:$I,'Leave Records'!$B:$B,$B12,'Leave Records'!$D:$D,Config!$E$7,'Leave Records'!$K:$K,"Approved")))</f>
        <v>5</v>
      </c>
      <c r="F12" s="22">
        <f>IF($B12="","",IF(Config!$E$7="",0,SUMIFS('Leave Records'!$I:$I,'Leave Records'!$B:$B,$B12,'Leave Records'!$D:$D,Config!$E$7,'Leave Records'!$K:$K,"Pending")))</f>
        <v>0</v>
      </c>
      <c r="G12" s="9">
        <f t="shared" si="1"/>
        <v>5</v>
      </c>
      <c r="H12" s="19">
        <f>IF($B12="","",IFERROR(Config!$F$8,0))</f>
        <v>5</v>
      </c>
      <c r="I12" s="21">
        <f>IF($B12="","",IF(Config!$E$8="",0,SUMIFS('Leave Records'!$I:$I,'Leave Records'!$B:$B,$B12,'Leave Records'!$D:$D,Config!$E$8,'Leave Records'!$K:$K,"Approved")))</f>
        <v>0</v>
      </c>
      <c r="J12" s="22">
        <f>IF($B12="","",IF(Config!$E$8="",0,SUMIFS('Leave Records'!$I:$I,'Leave Records'!$B:$B,$B12,'Leave Records'!$D:$D,Config!$E$8,'Leave Records'!$K:$K,"Pending")))</f>
        <v>0</v>
      </c>
      <c r="K12" s="9">
        <f t="shared" si="2"/>
        <v>5</v>
      </c>
      <c r="L12" s="19">
        <f>IF($B12="","",IFERROR(Config!$F$9,0))</f>
        <v>0</v>
      </c>
      <c r="M12" s="21">
        <f>IF($B12="","",IF(Config!$E$9="",0,SUMIFS('Leave Records'!$I:$I,'Leave Records'!$B:$B,$B12,'Leave Records'!$D:$D,Config!$E$9,'Leave Records'!$K:$K,"Approved")))</f>
        <v>0</v>
      </c>
      <c r="N12" s="22">
        <f>IF($B12="","",IF(Config!$E$9="",0,SUMIFS('Leave Records'!$I:$I,'Leave Records'!$B:$B,$B12,'Leave Records'!$D:$D,Config!$E$9,'Leave Records'!$K:$K,"Pending")))</f>
        <v>0</v>
      </c>
      <c r="O12" s="9">
        <f t="shared" si="3"/>
        <v>0</v>
      </c>
      <c r="P12" s="19">
        <f>IF($B12="","",IFERROR(Config!$F$10,0))</f>
        <v>0</v>
      </c>
      <c r="Q12" s="21">
        <f>IF($B12="","",IF(Config!$E$10="",0,SUMIFS('Leave Records'!$I:$I,'Leave Records'!$B:$B,$B12,'Leave Records'!$D:$D,Config!$E$10,'Leave Records'!$K:$K,"Approved")))</f>
        <v>0</v>
      </c>
      <c r="R12" s="22">
        <f>IF($B12="","",IF(Config!$E$10="",0,SUMIFS('Leave Records'!$I:$I,'Leave Records'!$B:$B,$B12,'Leave Records'!$D:$D,Config!$E$10,'Leave Records'!$K:$K,"Pending")))</f>
        <v>0</v>
      </c>
      <c r="S12" s="9">
        <f t="shared" si="4"/>
        <v>0</v>
      </c>
      <c r="T12" s="19">
        <f>IF($B12="","",IFERROR(Config!$F$11,0))</f>
        <v>0</v>
      </c>
      <c r="U12" s="21">
        <f>IF($B12="","",IF(Config!$E$11="",0,SUMIFS('Leave Records'!$I:$I,'Leave Records'!$B:$B,$B12,'Leave Records'!$D:$D,Config!$E$11,'Leave Records'!$K:$K,"Approved")))</f>
        <v>0</v>
      </c>
      <c r="V12" s="22">
        <f>IF($B12="","",IF(Config!$E$11="",0,SUMIFS('Leave Records'!$I:$I,'Leave Records'!$B:$B,$B12,'Leave Records'!$D:$D,Config!$E$11,'Leave Records'!$K:$K,"Pending")))</f>
        <v>0</v>
      </c>
      <c r="W12" s="9">
        <f t="shared" si="5"/>
        <v>0</v>
      </c>
      <c r="X12" s="14">
        <f t="shared" si="6"/>
        <v>5</v>
      </c>
    </row>
    <row r="13" ht="17" customHeight="1" spans="1:24">
      <c r="A13" s="5">
        <f t="shared" si="0"/>
        <v>9</v>
      </c>
      <c r="B13" s="6" t="str">
        <f>IF(Config!$B$15="","",Config!$B$15)</f>
        <v>Afrin Jahan Uzma</v>
      </c>
      <c r="C13" s="7" t="str">
        <f>IF(Config!$B$15="","",Config!$C$15)</f>
        <v>Lead Teacher</v>
      </c>
      <c r="D13" s="19">
        <f>IF($B13="","",IFERROR(Config!$F$7,0))</f>
        <v>10</v>
      </c>
      <c r="E13" s="10">
        <f>IF($B13="","",IF(Config!$E$7="",0,SUMIFS('Leave Records'!$I:$I,'Leave Records'!$B:$B,$B13,'Leave Records'!$D:$D,Config!$E$7,'Leave Records'!$K:$K,"Approved")))</f>
        <v>5</v>
      </c>
      <c r="F13" s="20">
        <f>IF($B13="","",IF(Config!$E$7="",0,SUMIFS('Leave Records'!$I:$I,'Leave Records'!$B:$B,$B13,'Leave Records'!$D:$D,Config!$E$7,'Leave Records'!$K:$K,"Pending")))</f>
        <v>0</v>
      </c>
      <c r="G13" s="8">
        <f t="shared" si="1"/>
        <v>5</v>
      </c>
      <c r="H13" s="19">
        <f>IF($B13="","",IFERROR(Config!$F$8,0))</f>
        <v>5</v>
      </c>
      <c r="I13" s="10">
        <f>IF($B13="","",IF(Config!$E$8="",0,SUMIFS('Leave Records'!$I:$I,'Leave Records'!$B:$B,$B13,'Leave Records'!$D:$D,Config!$E$8,'Leave Records'!$K:$K,"Approved")))</f>
        <v>0</v>
      </c>
      <c r="J13" s="20">
        <f>IF($B13="","",IF(Config!$E$8="",0,SUMIFS('Leave Records'!$I:$I,'Leave Records'!$B:$B,$B13,'Leave Records'!$D:$D,Config!$E$8,'Leave Records'!$K:$K,"Pending")))</f>
        <v>0</v>
      </c>
      <c r="K13" s="8">
        <f t="shared" si="2"/>
        <v>5</v>
      </c>
      <c r="L13" s="19">
        <f>IF($B13="","",IFERROR(Config!$F$9,0))</f>
        <v>0</v>
      </c>
      <c r="M13" s="10">
        <f>IF($B13="","",IF(Config!$E$9="",0,SUMIFS('Leave Records'!$I:$I,'Leave Records'!$B:$B,$B13,'Leave Records'!$D:$D,Config!$E$9,'Leave Records'!$K:$K,"Approved")))</f>
        <v>0</v>
      </c>
      <c r="N13" s="20">
        <f>IF($B13="","",IF(Config!$E$9="",0,SUMIFS('Leave Records'!$I:$I,'Leave Records'!$B:$B,$B13,'Leave Records'!$D:$D,Config!$E$9,'Leave Records'!$K:$K,"Pending")))</f>
        <v>0</v>
      </c>
      <c r="O13" s="8">
        <f t="shared" si="3"/>
        <v>0</v>
      </c>
      <c r="P13" s="19">
        <f>IF($B13="","",IFERROR(Config!$F$10,0))</f>
        <v>0</v>
      </c>
      <c r="Q13" s="10">
        <f>IF($B13="","",IF(Config!$E$10="",0,SUMIFS('Leave Records'!$I:$I,'Leave Records'!$B:$B,$B13,'Leave Records'!$D:$D,Config!$E$10,'Leave Records'!$K:$K,"Approved")))</f>
        <v>0</v>
      </c>
      <c r="R13" s="20">
        <f>IF($B13="","",IF(Config!$E$10="",0,SUMIFS('Leave Records'!$I:$I,'Leave Records'!$B:$B,$B13,'Leave Records'!$D:$D,Config!$E$10,'Leave Records'!$K:$K,"Pending")))</f>
        <v>0</v>
      </c>
      <c r="S13" s="8">
        <f t="shared" si="4"/>
        <v>0</v>
      </c>
      <c r="T13" s="19">
        <f>IF($B13="","",IFERROR(Config!$F$11,0))</f>
        <v>0</v>
      </c>
      <c r="U13" s="10">
        <f>IF($B13="","",IF(Config!$E$11="",0,SUMIFS('Leave Records'!$I:$I,'Leave Records'!$B:$B,$B13,'Leave Records'!$D:$D,Config!$E$11,'Leave Records'!$K:$K,"Approved")))</f>
        <v>0</v>
      </c>
      <c r="V13" s="20">
        <f>IF($B13="","",IF(Config!$E$11="",0,SUMIFS('Leave Records'!$I:$I,'Leave Records'!$B:$B,$B13,'Leave Records'!$D:$D,Config!$E$11,'Leave Records'!$K:$K,"Pending")))</f>
        <v>0</v>
      </c>
      <c r="W13" s="8">
        <f t="shared" si="5"/>
        <v>0</v>
      </c>
      <c r="X13" s="11">
        <f t="shared" si="6"/>
        <v>5</v>
      </c>
    </row>
    <row r="14" ht="17" customHeight="1" spans="1:24">
      <c r="A14" s="5">
        <f t="shared" si="0"/>
        <v>10</v>
      </c>
      <c r="B14" s="12" t="str">
        <f>IF(Config!$B$16="","",Config!$B$16)</f>
        <v>Ariful Islam Maruf</v>
      </c>
      <c r="C14" s="13" t="str">
        <f>IF(Config!$B$16="","",Config!$C$16)</f>
        <v/>
      </c>
      <c r="D14" s="19">
        <f>IF($B14="","",IFERROR(Config!$F$7,0))</f>
        <v>10</v>
      </c>
      <c r="E14" s="21">
        <f>IF($B14="","",IF(Config!$E$7="",0,SUMIFS('Leave Records'!$I:$I,'Leave Records'!$B:$B,$B14,'Leave Records'!$D:$D,Config!$E$7,'Leave Records'!$K:$K,"Approved")))</f>
        <v>2</v>
      </c>
      <c r="F14" s="22">
        <f>IF($B14="","",IF(Config!$E$7="",0,SUMIFS('Leave Records'!$I:$I,'Leave Records'!$B:$B,$B14,'Leave Records'!$D:$D,Config!$E$7,'Leave Records'!$K:$K,"Pending")))</f>
        <v>0</v>
      </c>
      <c r="G14" s="9">
        <f t="shared" si="1"/>
        <v>8</v>
      </c>
      <c r="H14" s="19">
        <f>IF($B14="","",IFERROR(Config!$F$8,0))</f>
        <v>5</v>
      </c>
      <c r="I14" s="21">
        <f>IF($B14="","",IF(Config!$E$8="",0,SUMIFS('Leave Records'!$I:$I,'Leave Records'!$B:$B,$B14,'Leave Records'!$D:$D,Config!$E$8,'Leave Records'!$K:$K,"Approved")))</f>
        <v>0</v>
      </c>
      <c r="J14" s="22">
        <f>IF($B14="","",IF(Config!$E$8="",0,SUMIFS('Leave Records'!$I:$I,'Leave Records'!$B:$B,$B14,'Leave Records'!$D:$D,Config!$E$8,'Leave Records'!$K:$K,"Pending")))</f>
        <v>0</v>
      </c>
      <c r="K14" s="9">
        <f t="shared" si="2"/>
        <v>5</v>
      </c>
      <c r="L14" s="19">
        <f>IF($B14="","",IFERROR(Config!$F$9,0))</f>
        <v>0</v>
      </c>
      <c r="M14" s="21">
        <f>IF($B14="","",IF(Config!$E$9="",0,SUMIFS('Leave Records'!$I:$I,'Leave Records'!$B:$B,$B14,'Leave Records'!$D:$D,Config!$E$9,'Leave Records'!$K:$K,"Approved")))</f>
        <v>0</v>
      </c>
      <c r="N14" s="22">
        <f>IF($B14="","",IF(Config!$E$9="",0,SUMIFS('Leave Records'!$I:$I,'Leave Records'!$B:$B,$B14,'Leave Records'!$D:$D,Config!$E$9,'Leave Records'!$K:$K,"Pending")))</f>
        <v>0</v>
      </c>
      <c r="O14" s="9">
        <f t="shared" si="3"/>
        <v>0</v>
      </c>
      <c r="P14" s="19">
        <f>IF($B14="","",IFERROR(Config!$F$10,0))</f>
        <v>0</v>
      </c>
      <c r="Q14" s="21">
        <f>IF($B14="","",IF(Config!$E$10="",0,SUMIFS('Leave Records'!$I:$I,'Leave Records'!$B:$B,$B14,'Leave Records'!$D:$D,Config!$E$10,'Leave Records'!$K:$K,"Approved")))</f>
        <v>0</v>
      </c>
      <c r="R14" s="22">
        <f>IF($B14="","",IF(Config!$E$10="",0,SUMIFS('Leave Records'!$I:$I,'Leave Records'!$B:$B,$B14,'Leave Records'!$D:$D,Config!$E$10,'Leave Records'!$K:$K,"Pending")))</f>
        <v>0</v>
      </c>
      <c r="S14" s="9">
        <f t="shared" si="4"/>
        <v>0</v>
      </c>
      <c r="T14" s="19">
        <f>IF($B14="","",IFERROR(Config!$F$11,0))</f>
        <v>0</v>
      </c>
      <c r="U14" s="21">
        <f>IF($B14="","",IF(Config!$E$11="",0,SUMIFS('Leave Records'!$I:$I,'Leave Records'!$B:$B,$B14,'Leave Records'!$D:$D,Config!$E$11,'Leave Records'!$K:$K,"Approved")))</f>
        <v>0</v>
      </c>
      <c r="V14" s="22">
        <f>IF($B14="","",IF(Config!$E$11="",0,SUMIFS('Leave Records'!$I:$I,'Leave Records'!$B:$B,$B14,'Leave Records'!$D:$D,Config!$E$11,'Leave Records'!$K:$K,"Pending")))</f>
        <v>0</v>
      </c>
      <c r="W14" s="9">
        <f t="shared" si="5"/>
        <v>0</v>
      </c>
      <c r="X14" s="14">
        <f t="shared" si="6"/>
        <v>2</v>
      </c>
    </row>
    <row r="15" ht="17" customHeight="1" spans="1:24">
      <c r="A15" s="5">
        <f t="shared" si="0"/>
        <v>11</v>
      </c>
      <c r="B15" s="6" t="str">
        <f>IF(Config!$B$17="","",Config!$B$17)</f>
        <v>Jinat Farhana Chy</v>
      </c>
      <c r="C15" s="7" t="str">
        <f>IF(Config!$B$17="","",Config!$C$17)</f>
        <v>Asst. Co-ord. (Pre-School)</v>
      </c>
      <c r="D15" s="19">
        <f>IF($B15="","",IFERROR(Config!$F$7,0))</f>
        <v>10</v>
      </c>
      <c r="E15" s="10">
        <f>IF($B15="","",IF(Config!$E$7="",0,SUMIFS('Leave Records'!$I:$I,'Leave Records'!$B:$B,$B15,'Leave Records'!$D:$D,Config!$E$7,'Leave Records'!$K:$K,"Approved")))</f>
        <v>6</v>
      </c>
      <c r="F15" s="20">
        <f>IF($B15="","",IF(Config!$E$7="",0,SUMIFS('Leave Records'!$I:$I,'Leave Records'!$B:$B,$B15,'Leave Records'!$D:$D,Config!$E$7,'Leave Records'!$K:$K,"Pending")))</f>
        <v>0</v>
      </c>
      <c r="G15" s="8">
        <f t="shared" si="1"/>
        <v>4</v>
      </c>
      <c r="H15" s="19">
        <f>IF($B15="","",IFERROR(Config!$F$8,0))</f>
        <v>5</v>
      </c>
      <c r="I15" s="10">
        <f>IF($B15="","",IF(Config!$E$8="",0,SUMIFS('Leave Records'!$I:$I,'Leave Records'!$B:$B,$B15,'Leave Records'!$D:$D,Config!$E$8,'Leave Records'!$K:$K,"Approved")))</f>
        <v>0</v>
      </c>
      <c r="J15" s="20">
        <f>IF($B15="","",IF(Config!$E$8="",0,SUMIFS('Leave Records'!$I:$I,'Leave Records'!$B:$B,$B15,'Leave Records'!$D:$D,Config!$E$8,'Leave Records'!$K:$K,"Pending")))</f>
        <v>0</v>
      </c>
      <c r="K15" s="8">
        <f t="shared" si="2"/>
        <v>5</v>
      </c>
      <c r="L15" s="19">
        <f>IF($B15="","",IFERROR(Config!$F$9,0))</f>
        <v>0</v>
      </c>
      <c r="M15" s="10">
        <f>IF($B15="","",IF(Config!$E$9="",0,SUMIFS('Leave Records'!$I:$I,'Leave Records'!$B:$B,$B15,'Leave Records'!$D:$D,Config!$E$9,'Leave Records'!$K:$K,"Approved")))</f>
        <v>0</v>
      </c>
      <c r="N15" s="20">
        <f>IF($B15="","",IF(Config!$E$9="",0,SUMIFS('Leave Records'!$I:$I,'Leave Records'!$B:$B,$B15,'Leave Records'!$D:$D,Config!$E$9,'Leave Records'!$K:$K,"Pending")))</f>
        <v>0</v>
      </c>
      <c r="O15" s="8">
        <f t="shared" si="3"/>
        <v>0</v>
      </c>
      <c r="P15" s="19">
        <f>IF($B15="","",IFERROR(Config!$F$10,0))</f>
        <v>0</v>
      </c>
      <c r="Q15" s="10">
        <f>IF($B15="","",IF(Config!$E$10="",0,SUMIFS('Leave Records'!$I:$I,'Leave Records'!$B:$B,$B15,'Leave Records'!$D:$D,Config!$E$10,'Leave Records'!$K:$K,"Approved")))</f>
        <v>0</v>
      </c>
      <c r="R15" s="20">
        <f>IF($B15="","",IF(Config!$E$10="",0,SUMIFS('Leave Records'!$I:$I,'Leave Records'!$B:$B,$B15,'Leave Records'!$D:$D,Config!$E$10,'Leave Records'!$K:$K,"Pending")))</f>
        <v>0</v>
      </c>
      <c r="S15" s="8">
        <f t="shared" si="4"/>
        <v>0</v>
      </c>
      <c r="T15" s="19">
        <f>IF($B15="","",IFERROR(Config!$F$11,0))</f>
        <v>0</v>
      </c>
      <c r="U15" s="10">
        <f>IF($B15="","",IF(Config!$E$11="",0,SUMIFS('Leave Records'!$I:$I,'Leave Records'!$B:$B,$B15,'Leave Records'!$D:$D,Config!$E$11,'Leave Records'!$K:$K,"Approved")))</f>
        <v>0</v>
      </c>
      <c r="V15" s="20">
        <f>IF($B15="","",IF(Config!$E$11="",0,SUMIFS('Leave Records'!$I:$I,'Leave Records'!$B:$B,$B15,'Leave Records'!$D:$D,Config!$E$11,'Leave Records'!$K:$K,"Pending")))</f>
        <v>0</v>
      </c>
      <c r="W15" s="8">
        <f t="shared" si="5"/>
        <v>0</v>
      </c>
      <c r="X15" s="11">
        <f t="shared" si="6"/>
        <v>6</v>
      </c>
    </row>
    <row r="16" ht="17" customHeight="1" spans="1:24">
      <c r="A16" s="5">
        <f t="shared" si="0"/>
        <v>12</v>
      </c>
      <c r="B16" s="12" t="str">
        <f>IF(Config!$B$18="","",Config!$B$18)</f>
        <v>Tabassuma Barat Chowdhury</v>
      </c>
      <c r="C16" s="13" t="str">
        <f>IF(Config!$B$18="","",Config!$C$18)</f>
        <v>Primary Co-ordinator</v>
      </c>
      <c r="D16" s="19">
        <f>IF($B16="","",IFERROR(Config!$F$7,0))</f>
        <v>10</v>
      </c>
      <c r="E16" s="21">
        <f>IF($B16="","",IF(Config!$E$7="",0,SUMIFS('Leave Records'!$I:$I,'Leave Records'!$B:$B,$B16,'Leave Records'!$D:$D,Config!$E$7,'Leave Records'!$K:$K,"Approved")))</f>
        <v>0</v>
      </c>
      <c r="F16" s="22">
        <f>IF($B16="","",IF(Config!$E$7="",0,SUMIFS('Leave Records'!$I:$I,'Leave Records'!$B:$B,$B16,'Leave Records'!$D:$D,Config!$E$7,'Leave Records'!$K:$K,"Pending")))</f>
        <v>0</v>
      </c>
      <c r="G16" s="9">
        <f t="shared" si="1"/>
        <v>10</v>
      </c>
      <c r="H16" s="19">
        <f>IF($B16="","",IFERROR(Config!$F$8,0))</f>
        <v>5</v>
      </c>
      <c r="I16" s="21">
        <f>IF($B16="","",IF(Config!$E$8="",0,SUMIFS('Leave Records'!$I:$I,'Leave Records'!$B:$B,$B16,'Leave Records'!$D:$D,Config!$E$8,'Leave Records'!$K:$K,"Approved")))</f>
        <v>1</v>
      </c>
      <c r="J16" s="22">
        <f>IF($B16="","",IF(Config!$E$8="",0,SUMIFS('Leave Records'!$I:$I,'Leave Records'!$B:$B,$B16,'Leave Records'!$D:$D,Config!$E$8,'Leave Records'!$K:$K,"Pending")))</f>
        <v>0</v>
      </c>
      <c r="K16" s="9">
        <f t="shared" si="2"/>
        <v>4</v>
      </c>
      <c r="L16" s="19">
        <f>IF($B16="","",IFERROR(Config!$F$9,0))</f>
        <v>0</v>
      </c>
      <c r="M16" s="21">
        <f>IF($B16="","",IF(Config!$E$9="",0,SUMIFS('Leave Records'!$I:$I,'Leave Records'!$B:$B,$B16,'Leave Records'!$D:$D,Config!$E$9,'Leave Records'!$K:$K,"Approved")))</f>
        <v>0</v>
      </c>
      <c r="N16" s="22">
        <f>IF($B16="","",IF(Config!$E$9="",0,SUMIFS('Leave Records'!$I:$I,'Leave Records'!$B:$B,$B16,'Leave Records'!$D:$D,Config!$E$9,'Leave Records'!$K:$K,"Pending")))</f>
        <v>0</v>
      </c>
      <c r="O16" s="9">
        <f t="shared" si="3"/>
        <v>0</v>
      </c>
      <c r="P16" s="19">
        <f>IF($B16="","",IFERROR(Config!$F$10,0))</f>
        <v>0</v>
      </c>
      <c r="Q16" s="21">
        <f>IF($B16="","",IF(Config!$E$10="",0,SUMIFS('Leave Records'!$I:$I,'Leave Records'!$B:$B,$B16,'Leave Records'!$D:$D,Config!$E$10,'Leave Records'!$K:$K,"Approved")))</f>
        <v>0</v>
      </c>
      <c r="R16" s="22">
        <f>IF($B16="","",IF(Config!$E$10="",0,SUMIFS('Leave Records'!$I:$I,'Leave Records'!$B:$B,$B16,'Leave Records'!$D:$D,Config!$E$10,'Leave Records'!$K:$K,"Pending")))</f>
        <v>0</v>
      </c>
      <c r="S16" s="9">
        <f t="shared" si="4"/>
        <v>0</v>
      </c>
      <c r="T16" s="19">
        <f>IF($B16="","",IFERROR(Config!$F$11,0))</f>
        <v>0</v>
      </c>
      <c r="U16" s="21">
        <f>IF($B16="","",IF(Config!$E$11="",0,SUMIFS('Leave Records'!$I:$I,'Leave Records'!$B:$B,$B16,'Leave Records'!$D:$D,Config!$E$11,'Leave Records'!$K:$K,"Approved")))</f>
        <v>0</v>
      </c>
      <c r="V16" s="22">
        <f>IF($B16="","",IF(Config!$E$11="",0,SUMIFS('Leave Records'!$I:$I,'Leave Records'!$B:$B,$B16,'Leave Records'!$D:$D,Config!$E$11,'Leave Records'!$K:$K,"Pending")))</f>
        <v>0</v>
      </c>
      <c r="W16" s="9">
        <f t="shared" si="5"/>
        <v>0</v>
      </c>
      <c r="X16" s="14">
        <f t="shared" si="6"/>
        <v>1</v>
      </c>
    </row>
    <row r="17" ht="17" customHeight="1" spans="1:24">
      <c r="A17" s="5">
        <f t="shared" si="0"/>
        <v>13</v>
      </c>
      <c r="B17" s="6" t="str">
        <f>IF(Config!$B$19="","",Config!$B$19)</f>
        <v>Sumaya Rahman</v>
      </c>
      <c r="C17" s="7" t="str">
        <f>IF(Config!$B$19="","",Config!$C$19)</f>
        <v>Asst. Co-ord. (Secondary)</v>
      </c>
      <c r="D17" s="19">
        <f>IF($B17="","",IFERROR(Config!$F$7,0))</f>
        <v>10</v>
      </c>
      <c r="E17" s="10">
        <f>IF($B17="","",IF(Config!$E$7="",0,SUMIFS('Leave Records'!$I:$I,'Leave Records'!$B:$B,$B17,'Leave Records'!$D:$D,Config!$E$7,'Leave Records'!$K:$K,"Approved")))</f>
        <v>3</v>
      </c>
      <c r="F17" s="20">
        <f>IF($B17="","",IF(Config!$E$7="",0,SUMIFS('Leave Records'!$I:$I,'Leave Records'!$B:$B,$B17,'Leave Records'!$D:$D,Config!$E$7,'Leave Records'!$K:$K,"Pending")))</f>
        <v>0</v>
      </c>
      <c r="G17" s="8">
        <f t="shared" si="1"/>
        <v>7</v>
      </c>
      <c r="H17" s="19">
        <f>IF($B17="","",IFERROR(Config!$F$8,0))</f>
        <v>5</v>
      </c>
      <c r="I17" s="10">
        <f>IF($B17="","",IF(Config!$E$8="",0,SUMIFS('Leave Records'!$I:$I,'Leave Records'!$B:$B,$B17,'Leave Records'!$D:$D,Config!$E$8,'Leave Records'!$K:$K,"Approved")))</f>
        <v>0</v>
      </c>
      <c r="J17" s="20">
        <f>IF($B17="","",IF(Config!$E$8="",0,SUMIFS('Leave Records'!$I:$I,'Leave Records'!$B:$B,$B17,'Leave Records'!$D:$D,Config!$E$8,'Leave Records'!$K:$K,"Pending")))</f>
        <v>0</v>
      </c>
      <c r="K17" s="8">
        <f t="shared" si="2"/>
        <v>5</v>
      </c>
      <c r="L17" s="19">
        <f>IF($B17="","",IFERROR(Config!$F$9,0))</f>
        <v>0</v>
      </c>
      <c r="M17" s="10">
        <f>IF($B17="","",IF(Config!$E$9="",0,SUMIFS('Leave Records'!$I:$I,'Leave Records'!$B:$B,$B17,'Leave Records'!$D:$D,Config!$E$9,'Leave Records'!$K:$K,"Approved")))</f>
        <v>0</v>
      </c>
      <c r="N17" s="20">
        <f>IF($B17="","",IF(Config!$E$9="",0,SUMIFS('Leave Records'!$I:$I,'Leave Records'!$B:$B,$B17,'Leave Records'!$D:$D,Config!$E$9,'Leave Records'!$K:$K,"Pending")))</f>
        <v>0</v>
      </c>
      <c r="O17" s="8">
        <f t="shared" si="3"/>
        <v>0</v>
      </c>
      <c r="P17" s="19">
        <f>IF($B17="","",IFERROR(Config!$F$10,0))</f>
        <v>0</v>
      </c>
      <c r="Q17" s="10">
        <f>IF($B17="","",IF(Config!$E$10="",0,SUMIFS('Leave Records'!$I:$I,'Leave Records'!$B:$B,$B17,'Leave Records'!$D:$D,Config!$E$10,'Leave Records'!$K:$K,"Approved")))</f>
        <v>0</v>
      </c>
      <c r="R17" s="20">
        <f>IF($B17="","",IF(Config!$E$10="",0,SUMIFS('Leave Records'!$I:$I,'Leave Records'!$B:$B,$B17,'Leave Records'!$D:$D,Config!$E$10,'Leave Records'!$K:$K,"Pending")))</f>
        <v>0</v>
      </c>
      <c r="S17" s="8">
        <f t="shared" si="4"/>
        <v>0</v>
      </c>
      <c r="T17" s="19">
        <f>IF($B17="","",IFERROR(Config!$F$11,0))</f>
        <v>0</v>
      </c>
      <c r="U17" s="10">
        <f>IF($B17="","",IF(Config!$E$11="",0,SUMIFS('Leave Records'!$I:$I,'Leave Records'!$B:$B,$B17,'Leave Records'!$D:$D,Config!$E$11,'Leave Records'!$K:$K,"Approved")))</f>
        <v>0</v>
      </c>
      <c r="V17" s="20">
        <f>IF($B17="","",IF(Config!$E$11="",0,SUMIFS('Leave Records'!$I:$I,'Leave Records'!$B:$B,$B17,'Leave Records'!$D:$D,Config!$E$11,'Leave Records'!$K:$K,"Pending")))</f>
        <v>0</v>
      </c>
      <c r="W17" s="8">
        <f t="shared" si="5"/>
        <v>0</v>
      </c>
      <c r="X17" s="11">
        <f t="shared" si="6"/>
        <v>3</v>
      </c>
    </row>
    <row r="18" ht="17" customHeight="1" spans="1:24">
      <c r="A18" s="5">
        <f t="shared" si="0"/>
        <v>14</v>
      </c>
      <c r="B18" s="12" t="str">
        <f>IF(Config!$B$20="","",Config!$B$20)</f>
        <v>Warda Siraj</v>
      </c>
      <c r="C18" s="13" t="str">
        <f>IF(Config!$B$20="","",Config!$C$20)</f>
        <v>Head Of BC</v>
      </c>
      <c r="D18" s="19">
        <f>IF($B18="","",IFERROR(Config!$F$7,0))</f>
        <v>10</v>
      </c>
      <c r="E18" s="21">
        <f>IF($B18="","",IF(Config!$E$7="",0,SUMIFS('Leave Records'!$I:$I,'Leave Records'!$B:$B,$B18,'Leave Records'!$D:$D,Config!$E$7,'Leave Records'!$K:$K,"Approved")))</f>
        <v>1</v>
      </c>
      <c r="F18" s="22">
        <f>IF($B18="","",IF(Config!$E$7="",0,SUMIFS('Leave Records'!$I:$I,'Leave Records'!$B:$B,$B18,'Leave Records'!$D:$D,Config!$E$7,'Leave Records'!$K:$K,"Pending")))</f>
        <v>0</v>
      </c>
      <c r="G18" s="9">
        <f t="shared" si="1"/>
        <v>9</v>
      </c>
      <c r="H18" s="19">
        <f>IF($B18="","",IFERROR(Config!$F$8,0))</f>
        <v>5</v>
      </c>
      <c r="I18" s="21">
        <f>IF($B18="","",IF(Config!$E$8="",0,SUMIFS('Leave Records'!$I:$I,'Leave Records'!$B:$B,$B18,'Leave Records'!$D:$D,Config!$E$8,'Leave Records'!$K:$K,"Approved")))</f>
        <v>1</v>
      </c>
      <c r="J18" s="22">
        <f>IF($B18="","",IF(Config!$E$8="",0,SUMIFS('Leave Records'!$I:$I,'Leave Records'!$B:$B,$B18,'Leave Records'!$D:$D,Config!$E$8,'Leave Records'!$K:$K,"Pending")))</f>
        <v>0</v>
      </c>
      <c r="K18" s="9">
        <f t="shared" si="2"/>
        <v>4</v>
      </c>
      <c r="L18" s="19">
        <f>IF($B18="","",IFERROR(Config!$F$9,0))</f>
        <v>0</v>
      </c>
      <c r="M18" s="21">
        <f>IF($B18="","",IF(Config!$E$9="",0,SUMIFS('Leave Records'!$I:$I,'Leave Records'!$B:$B,$B18,'Leave Records'!$D:$D,Config!$E$9,'Leave Records'!$K:$K,"Approved")))</f>
        <v>0</v>
      </c>
      <c r="N18" s="22">
        <f>IF($B18="","",IF(Config!$E$9="",0,SUMIFS('Leave Records'!$I:$I,'Leave Records'!$B:$B,$B18,'Leave Records'!$D:$D,Config!$E$9,'Leave Records'!$K:$K,"Pending")))</f>
        <v>0</v>
      </c>
      <c r="O18" s="9">
        <f t="shared" si="3"/>
        <v>0</v>
      </c>
      <c r="P18" s="19">
        <f>IF($B18="","",IFERROR(Config!$F$10,0))</f>
        <v>0</v>
      </c>
      <c r="Q18" s="21">
        <f>IF($B18="","",IF(Config!$E$10="",0,SUMIFS('Leave Records'!$I:$I,'Leave Records'!$B:$B,$B18,'Leave Records'!$D:$D,Config!$E$10,'Leave Records'!$K:$K,"Approved")))</f>
        <v>0</v>
      </c>
      <c r="R18" s="22">
        <f>IF($B18="","",IF(Config!$E$10="",0,SUMIFS('Leave Records'!$I:$I,'Leave Records'!$B:$B,$B18,'Leave Records'!$D:$D,Config!$E$10,'Leave Records'!$K:$K,"Pending")))</f>
        <v>0</v>
      </c>
      <c r="S18" s="9">
        <f t="shared" si="4"/>
        <v>0</v>
      </c>
      <c r="T18" s="19">
        <f>IF($B18="","",IFERROR(Config!$F$11,0))</f>
        <v>0</v>
      </c>
      <c r="U18" s="21">
        <f>IF($B18="","",IF(Config!$E$11="",0,SUMIFS('Leave Records'!$I:$I,'Leave Records'!$B:$B,$B18,'Leave Records'!$D:$D,Config!$E$11,'Leave Records'!$K:$K,"Approved")))</f>
        <v>0</v>
      </c>
      <c r="V18" s="22">
        <f>IF($B18="","",IF(Config!$E$11="",0,SUMIFS('Leave Records'!$I:$I,'Leave Records'!$B:$B,$B18,'Leave Records'!$D:$D,Config!$E$11,'Leave Records'!$K:$K,"Pending")))</f>
        <v>0</v>
      </c>
      <c r="W18" s="9">
        <f t="shared" si="5"/>
        <v>0</v>
      </c>
      <c r="X18" s="14">
        <f t="shared" si="6"/>
        <v>2</v>
      </c>
    </row>
    <row r="19" ht="17" customHeight="1" spans="1:24">
      <c r="A19" s="5">
        <f t="shared" si="0"/>
        <v>15</v>
      </c>
      <c r="B19" s="6" t="str">
        <f>IF(Config!$B$21="","",Config!$B$21)</f>
        <v>Irfan Hossain</v>
      </c>
      <c r="C19" s="7" t="str">
        <f>IF(Config!$B$21="","",Config!$C$21)</f>
        <v/>
      </c>
      <c r="D19" s="19">
        <f>IF($B19="","",IFERROR(Config!$F$7,0))</f>
        <v>10</v>
      </c>
      <c r="E19" s="10">
        <f>IF($B19="","",IF(Config!$E$7="",0,SUMIFS('Leave Records'!$I:$I,'Leave Records'!$B:$B,$B19,'Leave Records'!$D:$D,Config!$E$7,'Leave Records'!$K:$K,"Approved")))</f>
        <v>4</v>
      </c>
      <c r="F19" s="20">
        <f>IF($B19="","",IF(Config!$E$7="",0,SUMIFS('Leave Records'!$I:$I,'Leave Records'!$B:$B,$B19,'Leave Records'!$D:$D,Config!$E$7,'Leave Records'!$K:$K,"Pending")))</f>
        <v>0</v>
      </c>
      <c r="G19" s="8">
        <f t="shared" si="1"/>
        <v>6</v>
      </c>
      <c r="H19" s="19">
        <f>IF($B19="","",IFERROR(Config!$F$8,0))</f>
        <v>5</v>
      </c>
      <c r="I19" s="10">
        <f>IF($B19="","",IF(Config!$E$8="",0,SUMIFS('Leave Records'!$I:$I,'Leave Records'!$B:$B,$B19,'Leave Records'!$D:$D,Config!$E$8,'Leave Records'!$K:$K,"Approved")))</f>
        <v>0</v>
      </c>
      <c r="J19" s="20">
        <f>IF($B19="","",IF(Config!$E$8="",0,SUMIFS('Leave Records'!$I:$I,'Leave Records'!$B:$B,$B19,'Leave Records'!$D:$D,Config!$E$8,'Leave Records'!$K:$K,"Pending")))</f>
        <v>0</v>
      </c>
      <c r="K19" s="8">
        <f t="shared" si="2"/>
        <v>5</v>
      </c>
      <c r="L19" s="19">
        <f>IF($B19="","",IFERROR(Config!$F$9,0))</f>
        <v>0</v>
      </c>
      <c r="M19" s="10">
        <f>IF($B19="","",IF(Config!$E$9="",0,SUMIFS('Leave Records'!$I:$I,'Leave Records'!$B:$B,$B19,'Leave Records'!$D:$D,Config!$E$9,'Leave Records'!$K:$K,"Approved")))</f>
        <v>0</v>
      </c>
      <c r="N19" s="20">
        <f>IF($B19="","",IF(Config!$E$9="",0,SUMIFS('Leave Records'!$I:$I,'Leave Records'!$B:$B,$B19,'Leave Records'!$D:$D,Config!$E$9,'Leave Records'!$K:$K,"Pending")))</f>
        <v>0</v>
      </c>
      <c r="O19" s="8">
        <f t="shared" si="3"/>
        <v>0</v>
      </c>
      <c r="P19" s="19">
        <f>IF($B19="","",IFERROR(Config!$F$10,0))</f>
        <v>0</v>
      </c>
      <c r="Q19" s="10">
        <f>IF($B19="","",IF(Config!$E$10="",0,SUMIFS('Leave Records'!$I:$I,'Leave Records'!$B:$B,$B19,'Leave Records'!$D:$D,Config!$E$10,'Leave Records'!$K:$K,"Approved")))</f>
        <v>0</v>
      </c>
      <c r="R19" s="20">
        <f>IF($B19="","",IF(Config!$E$10="",0,SUMIFS('Leave Records'!$I:$I,'Leave Records'!$B:$B,$B19,'Leave Records'!$D:$D,Config!$E$10,'Leave Records'!$K:$K,"Pending")))</f>
        <v>0</v>
      </c>
      <c r="S19" s="8">
        <f t="shared" si="4"/>
        <v>0</v>
      </c>
      <c r="T19" s="19">
        <f>IF($B19="","",IFERROR(Config!$F$11,0))</f>
        <v>0</v>
      </c>
      <c r="U19" s="10">
        <f>IF($B19="","",IF(Config!$E$11="",0,SUMIFS('Leave Records'!$I:$I,'Leave Records'!$B:$B,$B19,'Leave Records'!$D:$D,Config!$E$11,'Leave Records'!$K:$K,"Approved")))</f>
        <v>0</v>
      </c>
      <c r="V19" s="20">
        <f>IF($B19="","",IF(Config!$E$11="",0,SUMIFS('Leave Records'!$I:$I,'Leave Records'!$B:$B,$B19,'Leave Records'!$D:$D,Config!$E$11,'Leave Records'!$K:$K,"Pending")))</f>
        <v>0</v>
      </c>
      <c r="W19" s="8">
        <f t="shared" si="5"/>
        <v>0</v>
      </c>
      <c r="X19" s="11">
        <f t="shared" si="6"/>
        <v>4</v>
      </c>
    </row>
    <row r="20" ht="17" customHeight="1" spans="1:24">
      <c r="A20" s="5">
        <f t="shared" si="0"/>
        <v>16</v>
      </c>
      <c r="B20" s="12" t="str">
        <f>IF(Config!$B$22="","",Config!$B$22)</f>
        <v>Mohoshina Shifa Buble</v>
      </c>
      <c r="C20" s="13" t="str">
        <f>IF(Config!$B$22="","",Config!$C$22)</f>
        <v>Teacher's Assistant</v>
      </c>
      <c r="D20" s="19">
        <f>IF($B20="","",IFERROR(Config!$F$7,0))</f>
        <v>10</v>
      </c>
      <c r="E20" s="21">
        <f>IF($B20="","",IF(Config!$E$7="",0,SUMIFS('Leave Records'!$I:$I,'Leave Records'!$B:$B,$B20,'Leave Records'!$D:$D,Config!$E$7,'Leave Records'!$K:$K,"Approved")))</f>
        <v>6</v>
      </c>
      <c r="F20" s="22">
        <f>IF($B20="","",IF(Config!$E$7="",0,SUMIFS('Leave Records'!$I:$I,'Leave Records'!$B:$B,$B20,'Leave Records'!$D:$D,Config!$E$7,'Leave Records'!$K:$K,"Pending")))</f>
        <v>0</v>
      </c>
      <c r="G20" s="9">
        <f t="shared" si="1"/>
        <v>4</v>
      </c>
      <c r="H20" s="19">
        <f>IF($B20="","",IFERROR(Config!$F$8,0))</f>
        <v>5</v>
      </c>
      <c r="I20" s="21">
        <f>IF($B20="","",IF(Config!$E$8="",0,SUMIFS('Leave Records'!$I:$I,'Leave Records'!$B:$B,$B20,'Leave Records'!$D:$D,Config!$E$8,'Leave Records'!$K:$K,"Approved")))</f>
        <v>0</v>
      </c>
      <c r="J20" s="22">
        <f>IF($B20="","",IF(Config!$E$8="",0,SUMIFS('Leave Records'!$I:$I,'Leave Records'!$B:$B,$B20,'Leave Records'!$D:$D,Config!$E$8,'Leave Records'!$K:$K,"Pending")))</f>
        <v>0</v>
      </c>
      <c r="K20" s="9">
        <f t="shared" si="2"/>
        <v>5</v>
      </c>
      <c r="L20" s="19">
        <f>IF($B20="","",IFERROR(Config!$F$9,0))</f>
        <v>0</v>
      </c>
      <c r="M20" s="21">
        <f>IF($B20="","",IF(Config!$E$9="",0,SUMIFS('Leave Records'!$I:$I,'Leave Records'!$B:$B,$B20,'Leave Records'!$D:$D,Config!$E$9,'Leave Records'!$K:$K,"Approved")))</f>
        <v>0</v>
      </c>
      <c r="N20" s="22">
        <f>IF($B20="","",IF(Config!$E$9="",0,SUMIFS('Leave Records'!$I:$I,'Leave Records'!$B:$B,$B20,'Leave Records'!$D:$D,Config!$E$9,'Leave Records'!$K:$K,"Pending")))</f>
        <v>0</v>
      </c>
      <c r="O20" s="9">
        <f t="shared" si="3"/>
        <v>0</v>
      </c>
      <c r="P20" s="19">
        <f>IF($B20="","",IFERROR(Config!$F$10,0))</f>
        <v>0</v>
      </c>
      <c r="Q20" s="21">
        <f>IF($B20="","",IF(Config!$E$10="",0,SUMIFS('Leave Records'!$I:$I,'Leave Records'!$B:$B,$B20,'Leave Records'!$D:$D,Config!$E$10,'Leave Records'!$K:$K,"Approved")))</f>
        <v>0</v>
      </c>
      <c r="R20" s="22">
        <f>IF($B20="","",IF(Config!$E$10="",0,SUMIFS('Leave Records'!$I:$I,'Leave Records'!$B:$B,$B20,'Leave Records'!$D:$D,Config!$E$10,'Leave Records'!$K:$K,"Pending")))</f>
        <v>0</v>
      </c>
      <c r="S20" s="9">
        <f t="shared" si="4"/>
        <v>0</v>
      </c>
      <c r="T20" s="19">
        <f>IF($B20="","",IFERROR(Config!$F$11,0))</f>
        <v>0</v>
      </c>
      <c r="U20" s="21">
        <f>IF($B20="","",IF(Config!$E$11="",0,SUMIFS('Leave Records'!$I:$I,'Leave Records'!$B:$B,$B20,'Leave Records'!$D:$D,Config!$E$11,'Leave Records'!$K:$K,"Approved")))</f>
        <v>0</v>
      </c>
      <c r="V20" s="22">
        <f>IF($B20="","",IF(Config!$E$11="",0,SUMIFS('Leave Records'!$I:$I,'Leave Records'!$B:$B,$B20,'Leave Records'!$D:$D,Config!$E$11,'Leave Records'!$K:$K,"Pending")))</f>
        <v>0</v>
      </c>
      <c r="W20" s="9">
        <f t="shared" si="5"/>
        <v>0</v>
      </c>
      <c r="X20" s="14">
        <f t="shared" si="6"/>
        <v>6</v>
      </c>
    </row>
    <row r="21" ht="17" customHeight="1" spans="1:24">
      <c r="A21" s="5">
        <f t="shared" si="0"/>
        <v>17</v>
      </c>
      <c r="B21" s="6" t="str">
        <f>IF(Config!$B$23="","",Config!$B$23)</f>
        <v>Sadia Akter Lubna</v>
      </c>
      <c r="C21" s="7" t="str">
        <f>IF(Config!$B$23="","",Config!$C$23)</f>
        <v>Teacher's Assistant</v>
      </c>
      <c r="D21" s="19">
        <f>IF($B21="","",IFERROR(Config!$F$7,0))</f>
        <v>10</v>
      </c>
      <c r="E21" s="10">
        <f>IF($B21="","",IF(Config!$E$7="",0,SUMIFS('Leave Records'!$I:$I,'Leave Records'!$B:$B,$B21,'Leave Records'!$D:$D,Config!$E$7,'Leave Records'!$K:$K,"Approved")))</f>
        <v>4</v>
      </c>
      <c r="F21" s="20">
        <f>IF($B21="","",IF(Config!$E$7="",0,SUMIFS('Leave Records'!$I:$I,'Leave Records'!$B:$B,$B21,'Leave Records'!$D:$D,Config!$E$7,'Leave Records'!$K:$K,"Pending")))</f>
        <v>0</v>
      </c>
      <c r="G21" s="8">
        <f t="shared" si="1"/>
        <v>6</v>
      </c>
      <c r="H21" s="19">
        <f>IF($B21="","",IFERROR(Config!$F$8,0))</f>
        <v>5</v>
      </c>
      <c r="I21" s="10">
        <f>IF($B21="","",IF(Config!$E$8="",0,SUMIFS('Leave Records'!$I:$I,'Leave Records'!$B:$B,$B21,'Leave Records'!$D:$D,Config!$E$8,'Leave Records'!$K:$K,"Approved")))</f>
        <v>0</v>
      </c>
      <c r="J21" s="20">
        <f>IF($B21="","",IF(Config!$E$8="",0,SUMIFS('Leave Records'!$I:$I,'Leave Records'!$B:$B,$B21,'Leave Records'!$D:$D,Config!$E$8,'Leave Records'!$K:$K,"Pending")))</f>
        <v>0</v>
      </c>
      <c r="K21" s="8">
        <f t="shared" si="2"/>
        <v>5</v>
      </c>
      <c r="L21" s="19">
        <f>IF($B21="","",IFERROR(Config!$F$9,0))</f>
        <v>0</v>
      </c>
      <c r="M21" s="10">
        <f>IF($B21="","",IF(Config!$E$9="",0,SUMIFS('Leave Records'!$I:$I,'Leave Records'!$B:$B,$B21,'Leave Records'!$D:$D,Config!$E$9,'Leave Records'!$K:$K,"Approved")))</f>
        <v>0</v>
      </c>
      <c r="N21" s="20">
        <f>IF($B21="","",IF(Config!$E$9="",0,SUMIFS('Leave Records'!$I:$I,'Leave Records'!$B:$B,$B21,'Leave Records'!$D:$D,Config!$E$9,'Leave Records'!$K:$K,"Pending")))</f>
        <v>0</v>
      </c>
      <c r="O21" s="8">
        <f t="shared" si="3"/>
        <v>0</v>
      </c>
      <c r="P21" s="19">
        <f>IF($B21="","",IFERROR(Config!$F$10,0))</f>
        <v>0</v>
      </c>
      <c r="Q21" s="10">
        <f>IF($B21="","",IF(Config!$E$10="",0,SUMIFS('Leave Records'!$I:$I,'Leave Records'!$B:$B,$B21,'Leave Records'!$D:$D,Config!$E$10,'Leave Records'!$K:$K,"Approved")))</f>
        <v>0</v>
      </c>
      <c r="R21" s="20">
        <f>IF($B21="","",IF(Config!$E$10="",0,SUMIFS('Leave Records'!$I:$I,'Leave Records'!$B:$B,$B21,'Leave Records'!$D:$D,Config!$E$10,'Leave Records'!$K:$K,"Pending")))</f>
        <v>0</v>
      </c>
      <c r="S21" s="8">
        <f t="shared" si="4"/>
        <v>0</v>
      </c>
      <c r="T21" s="19">
        <f>IF($B21="","",IFERROR(Config!$F$11,0))</f>
        <v>0</v>
      </c>
      <c r="U21" s="10">
        <f>IF($B21="","",IF(Config!$E$11="",0,SUMIFS('Leave Records'!$I:$I,'Leave Records'!$B:$B,$B21,'Leave Records'!$D:$D,Config!$E$11,'Leave Records'!$K:$K,"Approved")))</f>
        <v>0</v>
      </c>
      <c r="V21" s="20">
        <f>IF($B21="","",IF(Config!$E$11="",0,SUMIFS('Leave Records'!$I:$I,'Leave Records'!$B:$B,$B21,'Leave Records'!$D:$D,Config!$E$11,'Leave Records'!$K:$K,"Pending")))</f>
        <v>0</v>
      </c>
      <c r="W21" s="8">
        <f t="shared" si="5"/>
        <v>0</v>
      </c>
      <c r="X21" s="11">
        <f t="shared" si="6"/>
        <v>4</v>
      </c>
    </row>
    <row r="22" ht="17" customHeight="1" spans="1:24">
      <c r="A22" s="5">
        <f t="shared" si="0"/>
        <v>18</v>
      </c>
      <c r="B22" s="12" t="str">
        <f>IF(Config!$B$24="","",Config!$B$24)</f>
        <v>Taslima Akter</v>
      </c>
      <c r="C22" s="13" t="str">
        <f>IF(Config!$B$24="","",Config!$C$24)</f>
        <v>Subject Teacher (IC)</v>
      </c>
      <c r="D22" s="19">
        <f>IF($B22="","",IFERROR(Config!$F$7,0))</f>
        <v>10</v>
      </c>
      <c r="E22" s="21">
        <f>IF($B22="","",IF(Config!$E$7="",0,SUMIFS('Leave Records'!$I:$I,'Leave Records'!$B:$B,$B22,'Leave Records'!$D:$D,Config!$E$7,'Leave Records'!$K:$K,"Approved")))</f>
        <v>7</v>
      </c>
      <c r="F22" s="22">
        <f>IF($B22="","",IF(Config!$E$7="",0,SUMIFS('Leave Records'!$I:$I,'Leave Records'!$B:$B,$B22,'Leave Records'!$D:$D,Config!$E$7,'Leave Records'!$K:$K,"Pending")))</f>
        <v>0</v>
      </c>
      <c r="G22" s="9">
        <f t="shared" si="1"/>
        <v>3</v>
      </c>
      <c r="H22" s="19">
        <f>IF($B22="","",IFERROR(Config!$F$8,0))</f>
        <v>5</v>
      </c>
      <c r="I22" s="21">
        <f>IF($B22="","",IF(Config!$E$8="",0,SUMIFS('Leave Records'!$I:$I,'Leave Records'!$B:$B,$B22,'Leave Records'!$D:$D,Config!$E$8,'Leave Records'!$K:$K,"Approved")))</f>
        <v>0</v>
      </c>
      <c r="J22" s="22">
        <f>IF($B22="","",IF(Config!$E$8="",0,SUMIFS('Leave Records'!$I:$I,'Leave Records'!$B:$B,$B22,'Leave Records'!$D:$D,Config!$E$8,'Leave Records'!$K:$K,"Pending")))</f>
        <v>0</v>
      </c>
      <c r="K22" s="9">
        <f t="shared" si="2"/>
        <v>5</v>
      </c>
      <c r="L22" s="19">
        <f>IF($B22="","",IFERROR(Config!$F$9,0))</f>
        <v>0</v>
      </c>
      <c r="M22" s="21">
        <f>IF($B22="","",IF(Config!$E$9="",0,SUMIFS('Leave Records'!$I:$I,'Leave Records'!$B:$B,$B22,'Leave Records'!$D:$D,Config!$E$9,'Leave Records'!$K:$K,"Approved")))</f>
        <v>0</v>
      </c>
      <c r="N22" s="22">
        <f>IF($B22="","",IF(Config!$E$9="",0,SUMIFS('Leave Records'!$I:$I,'Leave Records'!$B:$B,$B22,'Leave Records'!$D:$D,Config!$E$9,'Leave Records'!$K:$K,"Pending")))</f>
        <v>0</v>
      </c>
      <c r="O22" s="9">
        <f t="shared" si="3"/>
        <v>0</v>
      </c>
      <c r="P22" s="19">
        <f>IF($B22="","",IFERROR(Config!$F$10,0))</f>
        <v>0</v>
      </c>
      <c r="Q22" s="21">
        <f>IF($B22="","",IF(Config!$E$10="",0,SUMIFS('Leave Records'!$I:$I,'Leave Records'!$B:$B,$B22,'Leave Records'!$D:$D,Config!$E$10,'Leave Records'!$K:$K,"Approved")))</f>
        <v>0</v>
      </c>
      <c r="R22" s="22">
        <f>IF($B22="","",IF(Config!$E$10="",0,SUMIFS('Leave Records'!$I:$I,'Leave Records'!$B:$B,$B22,'Leave Records'!$D:$D,Config!$E$10,'Leave Records'!$K:$K,"Pending")))</f>
        <v>0</v>
      </c>
      <c r="S22" s="9">
        <f t="shared" si="4"/>
        <v>0</v>
      </c>
      <c r="T22" s="19">
        <f>IF($B22="","",IFERROR(Config!$F$11,0))</f>
        <v>0</v>
      </c>
      <c r="U22" s="21">
        <f>IF($B22="","",IF(Config!$E$11="",0,SUMIFS('Leave Records'!$I:$I,'Leave Records'!$B:$B,$B22,'Leave Records'!$D:$D,Config!$E$11,'Leave Records'!$K:$K,"Approved")))</f>
        <v>0</v>
      </c>
      <c r="V22" s="22">
        <f>IF($B22="","",IF(Config!$E$11="",0,SUMIFS('Leave Records'!$I:$I,'Leave Records'!$B:$B,$B22,'Leave Records'!$D:$D,Config!$E$11,'Leave Records'!$K:$K,"Pending")))</f>
        <v>0</v>
      </c>
      <c r="W22" s="9">
        <f t="shared" si="5"/>
        <v>0</v>
      </c>
      <c r="X22" s="14">
        <f t="shared" si="6"/>
        <v>7</v>
      </c>
    </row>
    <row r="23" ht="17" customHeight="1" spans="1:24">
      <c r="A23" s="5">
        <f t="shared" si="0"/>
        <v>19</v>
      </c>
      <c r="B23" s="6" t="str">
        <f>IF(Config!$B$25="","",Config!$B$25)</f>
        <v>Samiya Hashem</v>
      </c>
      <c r="C23" s="7" t="str">
        <f>IF(Config!$B$25="","",Config!$C$25)</f>
        <v>Teacher's Assistant</v>
      </c>
      <c r="D23" s="19">
        <f>IF($B23="","",IFERROR(Config!$F$7,0))</f>
        <v>10</v>
      </c>
      <c r="E23" s="10">
        <f>IF($B23="","",IF(Config!$E$7="",0,SUMIFS('Leave Records'!$I:$I,'Leave Records'!$B:$B,$B23,'Leave Records'!$D:$D,Config!$E$7,'Leave Records'!$K:$K,"Approved")))</f>
        <v>1</v>
      </c>
      <c r="F23" s="20">
        <f>IF($B23="","",IF(Config!$E$7="",0,SUMIFS('Leave Records'!$I:$I,'Leave Records'!$B:$B,$B23,'Leave Records'!$D:$D,Config!$E$7,'Leave Records'!$K:$K,"Pending")))</f>
        <v>0</v>
      </c>
      <c r="G23" s="8">
        <f t="shared" si="1"/>
        <v>9</v>
      </c>
      <c r="H23" s="19">
        <f>IF($B23="","",IFERROR(Config!$F$8,0))</f>
        <v>5</v>
      </c>
      <c r="I23" s="10">
        <f>IF($B23="","",IF(Config!$E$8="",0,SUMIFS('Leave Records'!$I:$I,'Leave Records'!$B:$B,$B23,'Leave Records'!$D:$D,Config!$E$8,'Leave Records'!$K:$K,"Approved")))</f>
        <v>0</v>
      </c>
      <c r="J23" s="20">
        <f>IF($B23="","",IF(Config!$E$8="",0,SUMIFS('Leave Records'!$I:$I,'Leave Records'!$B:$B,$B23,'Leave Records'!$D:$D,Config!$E$8,'Leave Records'!$K:$K,"Pending")))</f>
        <v>0</v>
      </c>
      <c r="K23" s="8">
        <f t="shared" si="2"/>
        <v>5</v>
      </c>
      <c r="L23" s="19">
        <f>IF($B23="","",IFERROR(Config!$F$9,0))</f>
        <v>0</v>
      </c>
      <c r="M23" s="10">
        <f>IF($B23="","",IF(Config!$E$9="",0,SUMIFS('Leave Records'!$I:$I,'Leave Records'!$B:$B,$B23,'Leave Records'!$D:$D,Config!$E$9,'Leave Records'!$K:$K,"Approved")))</f>
        <v>0</v>
      </c>
      <c r="N23" s="20">
        <f>IF($B23="","",IF(Config!$E$9="",0,SUMIFS('Leave Records'!$I:$I,'Leave Records'!$B:$B,$B23,'Leave Records'!$D:$D,Config!$E$9,'Leave Records'!$K:$K,"Pending")))</f>
        <v>0</v>
      </c>
      <c r="O23" s="8">
        <f t="shared" si="3"/>
        <v>0</v>
      </c>
      <c r="P23" s="19">
        <f>IF($B23="","",IFERROR(Config!$F$10,0))</f>
        <v>0</v>
      </c>
      <c r="Q23" s="10">
        <f>IF($B23="","",IF(Config!$E$10="",0,SUMIFS('Leave Records'!$I:$I,'Leave Records'!$B:$B,$B23,'Leave Records'!$D:$D,Config!$E$10,'Leave Records'!$K:$K,"Approved")))</f>
        <v>0</v>
      </c>
      <c r="R23" s="20">
        <f>IF($B23="","",IF(Config!$E$10="",0,SUMIFS('Leave Records'!$I:$I,'Leave Records'!$B:$B,$B23,'Leave Records'!$D:$D,Config!$E$10,'Leave Records'!$K:$K,"Pending")))</f>
        <v>0</v>
      </c>
      <c r="S23" s="8">
        <f t="shared" si="4"/>
        <v>0</v>
      </c>
      <c r="T23" s="19">
        <f>IF($B23="","",IFERROR(Config!$F$11,0))</f>
        <v>0</v>
      </c>
      <c r="U23" s="10">
        <f>IF($B23="","",IF(Config!$E$11="",0,SUMIFS('Leave Records'!$I:$I,'Leave Records'!$B:$B,$B23,'Leave Records'!$D:$D,Config!$E$11,'Leave Records'!$K:$K,"Approved")))</f>
        <v>0</v>
      </c>
      <c r="V23" s="20">
        <f>IF($B23="","",IF(Config!$E$11="",0,SUMIFS('Leave Records'!$I:$I,'Leave Records'!$B:$B,$B23,'Leave Records'!$D:$D,Config!$E$11,'Leave Records'!$K:$K,"Pending")))</f>
        <v>0</v>
      </c>
      <c r="W23" s="8">
        <f t="shared" si="5"/>
        <v>0</v>
      </c>
      <c r="X23" s="11">
        <f t="shared" si="6"/>
        <v>1</v>
      </c>
    </row>
    <row r="24" ht="17" customHeight="1" spans="1:24">
      <c r="A24" s="5">
        <f t="shared" si="0"/>
        <v>20</v>
      </c>
      <c r="B24" s="12" t="str">
        <f>IF(Config!$B$26="","",Config!$B$26)</f>
        <v>Humaira Tasnim</v>
      </c>
      <c r="C24" s="13" t="str">
        <f>IF(Config!$B$26="","",Config!$C$26)</f>
        <v/>
      </c>
      <c r="D24" s="19">
        <f>IF($B24="","",IFERROR(Config!$F$7,0))</f>
        <v>10</v>
      </c>
      <c r="E24" s="21">
        <f>IF($B24="","",IF(Config!$E$7="",0,SUMIFS('Leave Records'!$I:$I,'Leave Records'!$B:$B,$B24,'Leave Records'!$D:$D,Config!$E$7,'Leave Records'!$K:$K,"Approved")))</f>
        <v>7</v>
      </c>
      <c r="F24" s="22">
        <f>IF($B24="","",IF(Config!$E$7="",0,SUMIFS('Leave Records'!$I:$I,'Leave Records'!$B:$B,$B24,'Leave Records'!$D:$D,Config!$E$7,'Leave Records'!$K:$K,"Pending")))</f>
        <v>0</v>
      </c>
      <c r="G24" s="9">
        <f t="shared" si="1"/>
        <v>3</v>
      </c>
      <c r="H24" s="19">
        <f>IF($B24="","",IFERROR(Config!$F$8,0))</f>
        <v>5</v>
      </c>
      <c r="I24" s="21">
        <f>IF($B24="","",IF(Config!$E$8="",0,SUMIFS('Leave Records'!$I:$I,'Leave Records'!$B:$B,$B24,'Leave Records'!$D:$D,Config!$E$8,'Leave Records'!$K:$K,"Approved")))</f>
        <v>0</v>
      </c>
      <c r="J24" s="22">
        <f>IF($B24="","",IF(Config!$E$8="",0,SUMIFS('Leave Records'!$I:$I,'Leave Records'!$B:$B,$B24,'Leave Records'!$D:$D,Config!$E$8,'Leave Records'!$K:$K,"Pending")))</f>
        <v>0</v>
      </c>
      <c r="K24" s="9">
        <f t="shared" si="2"/>
        <v>5</v>
      </c>
      <c r="L24" s="19">
        <f>IF($B24="","",IFERROR(Config!$F$9,0))</f>
        <v>0</v>
      </c>
      <c r="M24" s="21">
        <f>IF($B24="","",IF(Config!$E$9="",0,SUMIFS('Leave Records'!$I:$I,'Leave Records'!$B:$B,$B24,'Leave Records'!$D:$D,Config!$E$9,'Leave Records'!$K:$K,"Approved")))</f>
        <v>0</v>
      </c>
      <c r="N24" s="22">
        <f>IF($B24="","",IF(Config!$E$9="",0,SUMIFS('Leave Records'!$I:$I,'Leave Records'!$B:$B,$B24,'Leave Records'!$D:$D,Config!$E$9,'Leave Records'!$K:$K,"Pending")))</f>
        <v>0</v>
      </c>
      <c r="O24" s="9">
        <f t="shared" si="3"/>
        <v>0</v>
      </c>
      <c r="P24" s="19">
        <f>IF($B24="","",IFERROR(Config!$F$10,0))</f>
        <v>0</v>
      </c>
      <c r="Q24" s="21">
        <f>IF($B24="","",IF(Config!$E$10="",0,SUMIFS('Leave Records'!$I:$I,'Leave Records'!$B:$B,$B24,'Leave Records'!$D:$D,Config!$E$10,'Leave Records'!$K:$K,"Approved")))</f>
        <v>0</v>
      </c>
      <c r="R24" s="22">
        <f>IF($B24="","",IF(Config!$E$10="",0,SUMIFS('Leave Records'!$I:$I,'Leave Records'!$B:$B,$B24,'Leave Records'!$D:$D,Config!$E$10,'Leave Records'!$K:$K,"Pending")))</f>
        <v>0</v>
      </c>
      <c r="S24" s="9">
        <f t="shared" si="4"/>
        <v>0</v>
      </c>
      <c r="T24" s="19">
        <f>IF($B24="","",IFERROR(Config!$F$11,0))</f>
        <v>0</v>
      </c>
      <c r="U24" s="21">
        <f>IF($B24="","",IF(Config!$E$11="",0,SUMIFS('Leave Records'!$I:$I,'Leave Records'!$B:$B,$B24,'Leave Records'!$D:$D,Config!$E$11,'Leave Records'!$K:$K,"Approved")))</f>
        <v>0</v>
      </c>
      <c r="V24" s="22">
        <f>IF($B24="","",IF(Config!$E$11="",0,SUMIFS('Leave Records'!$I:$I,'Leave Records'!$B:$B,$B24,'Leave Records'!$D:$D,Config!$E$11,'Leave Records'!$K:$K,"Pending")))</f>
        <v>0</v>
      </c>
      <c r="W24" s="9">
        <f t="shared" si="5"/>
        <v>0</v>
      </c>
      <c r="X24" s="14">
        <f t="shared" si="6"/>
        <v>7</v>
      </c>
    </row>
    <row r="25" ht="17" customHeight="1" spans="1:24">
      <c r="A25" s="5">
        <f t="shared" si="0"/>
        <v>21</v>
      </c>
      <c r="B25" s="6" t="str">
        <f>IF(Config!$B$27="","",Config!$B$27)</f>
        <v>Aziza Sultana</v>
      </c>
      <c r="C25" s="7" t="str">
        <f>IF(Config!$B$27="","",Config!$C$27)</f>
        <v>Teacher's Assistant</v>
      </c>
      <c r="D25" s="19">
        <f>IF($B25="","",IFERROR(Config!$F$7,0))</f>
        <v>10</v>
      </c>
      <c r="E25" s="10">
        <f>IF($B25="","",IF(Config!$E$7="",0,SUMIFS('Leave Records'!$I:$I,'Leave Records'!$B:$B,$B25,'Leave Records'!$D:$D,Config!$E$7,'Leave Records'!$K:$K,"Approved")))</f>
        <v>2</v>
      </c>
      <c r="F25" s="20">
        <f>IF($B25="","",IF(Config!$E$7="",0,SUMIFS('Leave Records'!$I:$I,'Leave Records'!$B:$B,$B25,'Leave Records'!$D:$D,Config!$E$7,'Leave Records'!$K:$K,"Pending")))</f>
        <v>0</v>
      </c>
      <c r="G25" s="8">
        <f t="shared" si="1"/>
        <v>8</v>
      </c>
      <c r="H25" s="19">
        <f>IF($B25="","",IFERROR(Config!$F$8,0))</f>
        <v>5</v>
      </c>
      <c r="I25" s="10">
        <f>IF($B25="","",IF(Config!$E$8="",0,SUMIFS('Leave Records'!$I:$I,'Leave Records'!$B:$B,$B25,'Leave Records'!$D:$D,Config!$E$8,'Leave Records'!$K:$K,"Approved")))</f>
        <v>1</v>
      </c>
      <c r="J25" s="20">
        <f>IF($B25="","",IF(Config!$E$8="",0,SUMIFS('Leave Records'!$I:$I,'Leave Records'!$B:$B,$B25,'Leave Records'!$D:$D,Config!$E$8,'Leave Records'!$K:$K,"Pending")))</f>
        <v>0</v>
      </c>
      <c r="K25" s="8">
        <f t="shared" si="2"/>
        <v>4</v>
      </c>
      <c r="L25" s="19">
        <f>IF($B25="","",IFERROR(Config!$F$9,0))</f>
        <v>0</v>
      </c>
      <c r="M25" s="10">
        <f>IF($B25="","",IF(Config!$E$9="",0,SUMIFS('Leave Records'!$I:$I,'Leave Records'!$B:$B,$B25,'Leave Records'!$D:$D,Config!$E$9,'Leave Records'!$K:$K,"Approved")))</f>
        <v>0</v>
      </c>
      <c r="N25" s="20">
        <f>IF($B25="","",IF(Config!$E$9="",0,SUMIFS('Leave Records'!$I:$I,'Leave Records'!$B:$B,$B25,'Leave Records'!$D:$D,Config!$E$9,'Leave Records'!$K:$K,"Pending")))</f>
        <v>0</v>
      </c>
      <c r="O25" s="8">
        <f t="shared" si="3"/>
        <v>0</v>
      </c>
      <c r="P25" s="19">
        <f>IF($B25="","",IFERROR(Config!$F$10,0))</f>
        <v>0</v>
      </c>
      <c r="Q25" s="10">
        <f>IF($B25="","",IF(Config!$E$10="",0,SUMIFS('Leave Records'!$I:$I,'Leave Records'!$B:$B,$B25,'Leave Records'!$D:$D,Config!$E$10,'Leave Records'!$K:$K,"Approved")))</f>
        <v>0</v>
      </c>
      <c r="R25" s="20">
        <f>IF($B25="","",IF(Config!$E$10="",0,SUMIFS('Leave Records'!$I:$I,'Leave Records'!$B:$B,$B25,'Leave Records'!$D:$D,Config!$E$10,'Leave Records'!$K:$K,"Pending")))</f>
        <v>0</v>
      </c>
      <c r="S25" s="8">
        <f t="shared" si="4"/>
        <v>0</v>
      </c>
      <c r="T25" s="19">
        <f>IF($B25="","",IFERROR(Config!$F$11,0))</f>
        <v>0</v>
      </c>
      <c r="U25" s="10">
        <f>IF($B25="","",IF(Config!$E$11="",0,SUMIFS('Leave Records'!$I:$I,'Leave Records'!$B:$B,$B25,'Leave Records'!$D:$D,Config!$E$11,'Leave Records'!$K:$K,"Approved")))</f>
        <v>0</v>
      </c>
      <c r="V25" s="20">
        <f>IF($B25="","",IF(Config!$E$11="",0,SUMIFS('Leave Records'!$I:$I,'Leave Records'!$B:$B,$B25,'Leave Records'!$D:$D,Config!$E$11,'Leave Records'!$K:$K,"Pending")))</f>
        <v>0</v>
      </c>
      <c r="W25" s="8">
        <f t="shared" si="5"/>
        <v>0</v>
      </c>
      <c r="X25" s="11">
        <f t="shared" si="6"/>
        <v>3</v>
      </c>
    </row>
    <row r="26" ht="17" customHeight="1" spans="1:24">
      <c r="A26" s="5">
        <f t="shared" si="0"/>
        <v>22</v>
      </c>
      <c r="B26" s="12" t="str">
        <f>IF(Config!$B$28="","",Config!$B$28)</f>
        <v>Farhana Yesmin</v>
      </c>
      <c r="C26" s="13" t="str">
        <f>IF(Config!$B$28="","",Config!$C$28)</f>
        <v/>
      </c>
      <c r="D26" s="19">
        <f>IF($B26="","",IFERROR(Config!$F$7,0))</f>
        <v>10</v>
      </c>
      <c r="E26" s="21">
        <f>IF($B26="","",IF(Config!$E$7="",0,SUMIFS('Leave Records'!$I:$I,'Leave Records'!$B:$B,$B26,'Leave Records'!$D:$D,Config!$E$7,'Leave Records'!$K:$K,"Approved")))</f>
        <v>2</v>
      </c>
      <c r="F26" s="22">
        <f>IF($B26="","",IF(Config!$E$7="",0,SUMIFS('Leave Records'!$I:$I,'Leave Records'!$B:$B,$B26,'Leave Records'!$D:$D,Config!$E$7,'Leave Records'!$K:$K,"Pending")))</f>
        <v>0</v>
      </c>
      <c r="G26" s="9">
        <f t="shared" si="1"/>
        <v>8</v>
      </c>
      <c r="H26" s="19">
        <f>IF($B26="","",IFERROR(Config!$F$8,0))</f>
        <v>5</v>
      </c>
      <c r="I26" s="21">
        <f>IF($B26="","",IF(Config!$E$8="",0,SUMIFS('Leave Records'!$I:$I,'Leave Records'!$B:$B,$B26,'Leave Records'!$D:$D,Config!$E$8,'Leave Records'!$K:$K,"Approved")))</f>
        <v>0</v>
      </c>
      <c r="J26" s="22">
        <f>IF($B26="","",IF(Config!$E$8="",0,SUMIFS('Leave Records'!$I:$I,'Leave Records'!$B:$B,$B26,'Leave Records'!$D:$D,Config!$E$8,'Leave Records'!$K:$K,"Pending")))</f>
        <v>0</v>
      </c>
      <c r="K26" s="9">
        <f t="shared" si="2"/>
        <v>5</v>
      </c>
      <c r="L26" s="19">
        <f>IF($B26="","",IFERROR(Config!$F$9,0))</f>
        <v>0</v>
      </c>
      <c r="M26" s="21">
        <f>IF($B26="","",IF(Config!$E$9="",0,SUMIFS('Leave Records'!$I:$I,'Leave Records'!$B:$B,$B26,'Leave Records'!$D:$D,Config!$E$9,'Leave Records'!$K:$K,"Approved")))</f>
        <v>0</v>
      </c>
      <c r="N26" s="22">
        <f>IF($B26="","",IF(Config!$E$9="",0,SUMIFS('Leave Records'!$I:$I,'Leave Records'!$B:$B,$B26,'Leave Records'!$D:$D,Config!$E$9,'Leave Records'!$K:$K,"Pending")))</f>
        <v>0</v>
      </c>
      <c r="O26" s="9">
        <f t="shared" si="3"/>
        <v>0</v>
      </c>
      <c r="P26" s="19">
        <f>IF($B26="","",IFERROR(Config!$F$10,0))</f>
        <v>0</v>
      </c>
      <c r="Q26" s="21">
        <f>IF($B26="","",IF(Config!$E$10="",0,SUMIFS('Leave Records'!$I:$I,'Leave Records'!$B:$B,$B26,'Leave Records'!$D:$D,Config!$E$10,'Leave Records'!$K:$K,"Approved")))</f>
        <v>0</v>
      </c>
      <c r="R26" s="22">
        <f>IF($B26="","",IF(Config!$E$10="",0,SUMIFS('Leave Records'!$I:$I,'Leave Records'!$B:$B,$B26,'Leave Records'!$D:$D,Config!$E$10,'Leave Records'!$K:$K,"Pending")))</f>
        <v>0</v>
      </c>
      <c r="S26" s="9">
        <f t="shared" si="4"/>
        <v>0</v>
      </c>
      <c r="T26" s="19">
        <f>IF($B26="","",IFERROR(Config!$F$11,0))</f>
        <v>0</v>
      </c>
      <c r="U26" s="21">
        <f>IF($B26="","",IF(Config!$E$11="",0,SUMIFS('Leave Records'!$I:$I,'Leave Records'!$B:$B,$B26,'Leave Records'!$D:$D,Config!$E$11,'Leave Records'!$K:$K,"Approved")))</f>
        <v>0</v>
      </c>
      <c r="V26" s="22">
        <f>IF($B26="","",IF(Config!$E$11="",0,SUMIFS('Leave Records'!$I:$I,'Leave Records'!$B:$B,$B26,'Leave Records'!$D:$D,Config!$E$11,'Leave Records'!$K:$K,"Pending")))</f>
        <v>0</v>
      </c>
      <c r="W26" s="9">
        <f t="shared" si="5"/>
        <v>0</v>
      </c>
      <c r="X26" s="14">
        <f t="shared" si="6"/>
        <v>2</v>
      </c>
    </row>
    <row r="27" ht="17" customHeight="1" spans="1:24">
      <c r="A27" s="5">
        <f t="shared" si="0"/>
        <v>23</v>
      </c>
      <c r="B27" s="6" t="str">
        <f>IF(Config!$B$29="","",Config!$B$29)</f>
        <v>Kamrun Nahar</v>
      </c>
      <c r="C27" s="7" t="str">
        <f>IF(Config!$B$29="","",Config!$C$29)</f>
        <v>Class Teacher</v>
      </c>
      <c r="D27" s="19">
        <f>IF($B27="","",IFERROR(Config!$F$7,0))</f>
        <v>10</v>
      </c>
      <c r="E27" s="10">
        <f>IF($B27="","",IF(Config!$E$7="",0,SUMIFS('Leave Records'!$I:$I,'Leave Records'!$B:$B,$B27,'Leave Records'!$D:$D,Config!$E$7,'Leave Records'!$K:$K,"Approved")))</f>
        <v>11</v>
      </c>
      <c r="F27" s="20">
        <f>IF($B27="","",IF(Config!$E$7="",0,SUMIFS('Leave Records'!$I:$I,'Leave Records'!$B:$B,$B27,'Leave Records'!$D:$D,Config!$E$7,'Leave Records'!$K:$K,"Pending")))</f>
        <v>0</v>
      </c>
      <c r="G27" s="8">
        <f t="shared" si="1"/>
        <v>-1</v>
      </c>
      <c r="H27" s="19">
        <f>IF($B27="","",IFERROR(Config!$F$8,0))</f>
        <v>5</v>
      </c>
      <c r="I27" s="10">
        <f>IF($B27="","",IF(Config!$E$8="",0,SUMIFS('Leave Records'!$I:$I,'Leave Records'!$B:$B,$B27,'Leave Records'!$D:$D,Config!$E$8,'Leave Records'!$K:$K,"Approved")))</f>
        <v>0</v>
      </c>
      <c r="J27" s="20">
        <f>IF($B27="","",IF(Config!$E$8="",0,SUMIFS('Leave Records'!$I:$I,'Leave Records'!$B:$B,$B27,'Leave Records'!$D:$D,Config!$E$8,'Leave Records'!$K:$K,"Pending")))</f>
        <v>0</v>
      </c>
      <c r="K27" s="8">
        <f t="shared" si="2"/>
        <v>5</v>
      </c>
      <c r="L27" s="19">
        <f>IF($B27="","",IFERROR(Config!$F$9,0))</f>
        <v>0</v>
      </c>
      <c r="M27" s="10">
        <f>IF($B27="","",IF(Config!$E$9="",0,SUMIFS('Leave Records'!$I:$I,'Leave Records'!$B:$B,$B27,'Leave Records'!$D:$D,Config!$E$9,'Leave Records'!$K:$K,"Approved")))</f>
        <v>0</v>
      </c>
      <c r="N27" s="20">
        <f>IF($B27="","",IF(Config!$E$9="",0,SUMIFS('Leave Records'!$I:$I,'Leave Records'!$B:$B,$B27,'Leave Records'!$D:$D,Config!$E$9,'Leave Records'!$K:$K,"Pending")))</f>
        <v>0</v>
      </c>
      <c r="O27" s="8">
        <f t="shared" si="3"/>
        <v>0</v>
      </c>
      <c r="P27" s="19">
        <f>IF($B27="","",IFERROR(Config!$F$10,0))</f>
        <v>0</v>
      </c>
      <c r="Q27" s="10">
        <f>IF($B27="","",IF(Config!$E$10="",0,SUMIFS('Leave Records'!$I:$I,'Leave Records'!$B:$B,$B27,'Leave Records'!$D:$D,Config!$E$10,'Leave Records'!$K:$K,"Approved")))</f>
        <v>0</v>
      </c>
      <c r="R27" s="20">
        <f>IF($B27="","",IF(Config!$E$10="",0,SUMIFS('Leave Records'!$I:$I,'Leave Records'!$B:$B,$B27,'Leave Records'!$D:$D,Config!$E$10,'Leave Records'!$K:$K,"Pending")))</f>
        <v>0</v>
      </c>
      <c r="S27" s="8">
        <f t="shared" si="4"/>
        <v>0</v>
      </c>
      <c r="T27" s="19">
        <f>IF($B27="","",IFERROR(Config!$F$11,0))</f>
        <v>0</v>
      </c>
      <c r="U27" s="10">
        <f>IF($B27="","",IF(Config!$E$11="",0,SUMIFS('Leave Records'!$I:$I,'Leave Records'!$B:$B,$B27,'Leave Records'!$D:$D,Config!$E$11,'Leave Records'!$K:$K,"Approved")))</f>
        <v>0</v>
      </c>
      <c r="V27" s="20">
        <f>IF($B27="","",IF(Config!$E$11="",0,SUMIFS('Leave Records'!$I:$I,'Leave Records'!$B:$B,$B27,'Leave Records'!$D:$D,Config!$E$11,'Leave Records'!$K:$K,"Pending")))</f>
        <v>0</v>
      </c>
      <c r="W27" s="8">
        <f t="shared" si="5"/>
        <v>0</v>
      </c>
      <c r="X27" s="11">
        <f t="shared" si="6"/>
        <v>11</v>
      </c>
    </row>
    <row r="28" ht="17" customHeight="1" spans="1:24">
      <c r="A28" s="5">
        <f t="shared" si="0"/>
        <v>24</v>
      </c>
      <c r="B28" s="12" t="str">
        <f>IF(Config!$B$30="","",Config!$B$30)</f>
        <v>Tashmem Al Faed</v>
      </c>
      <c r="C28" s="13" t="str">
        <f>IF(Config!$B$30="","",Config!$C$30)</f>
        <v>Subject Teacher</v>
      </c>
      <c r="D28" s="19">
        <f>IF($B28="","",IFERROR(Config!$F$7,0))</f>
        <v>10</v>
      </c>
      <c r="E28" s="21">
        <f>IF($B28="","",IF(Config!$E$7="",0,SUMIFS('Leave Records'!$I:$I,'Leave Records'!$B:$B,$B28,'Leave Records'!$D:$D,Config!$E$7,'Leave Records'!$K:$K,"Approved")))</f>
        <v>1</v>
      </c>
      <c r="F28" s="22">
        <f>IF($B28="","",IF(Config!$E$7="",0,SUMIFS('Leave Records'!$I:$I,'Leave Records'!$B:$B,$B28,'Leave Records'!$D:$D,Config!$E$7,'Leave Records'!$K:$K,"Pending")))</f>
        <v>0</v>
      </c>
      <c r="G28" s="9">
        <f t="shared" si="1"/>
        <v>9</v>
      </c>
      <c r="H28" s="19">
        <f>IF($B28="","",IFERROR(Config!$F$8,0))</f>
        <v>5</v>
      </c>
      <c r="I28" s="21">
        <f>IF($B28="","",IF(Config!$E$8="",0,SUMIFS('Leave Records'!$I:$I,'Leave Records'!$B:$B,$B28,'Leave Records'!$D:$D,Config!$E$8,'Leave Records'!$K:$K,"Approved")))</f>
        <v>0</v>
      </c>
      <c r="J28" s="22">
        <f>IF($B28="","",IF(Config!$E$8="",0,SUMIFS('Leave Records'!$I:$I,'Leave Records'!$B:$B,$B28,'Leave Records'!$D:$D,Config!$E$8,'Leave Records'!$K:$K,"Pending")))</f>
        <v>0</v>
      </c>
      <c r="K28" s="9">
        <f t="shared" si="2"/>
        <v>5</v>
      </c>
      <c r="L28" s="19">
        <f>IF($B28="","",IFERROR(Config!$F$9,0))</f>
        <v>0</v>
      </c>
      <c r="M28" s="21">
        <f>IF($B28="","",IF(Config!$E$9="",0,SUMIFS('Leave Records'!$I:$I,'Leave Records'!$B:$B,$B28,'Leave Records'!$D:$D,Config!$E$9,'Leave Records'!$K:$K,"Approved")))</f>
        <v>0</v>
      </c>
      <c r="N28" s="22">
        <f>IF($B28="","",IF(Config!$E$9="",0,SUMIFS('Leave Records'!$I:$I,'Leave Records'!$B:$B,$B28,'Leave Records'!$D:$D,Config!$E$9,'Leave Records'!$K:$K,"Pending")))</f>
        <v>0</v>
      </c>
      <c r="O28" s="9">
        <f t="shared" si="3"/>
        <v>0</v>
      </c>
      <c r="P28" s="19">
        <f>IF($B28="","",IFERROR(Config!$F$10,0))</f>
        <v>0</v>
      </c>
      <c r="Q28" s="21">
        <f>IF($B28="","",IF(Config!$E$10="",0,SUMIFS('Leave Records'!$I:$I,'Leave Records'!$B:$B,$B28,'Leave Records'!$D:$D,Config!$E$10,'Leave Records'!$K:$K,"Approved")))</f>
        <v>0</v>
      </c>
      <c r="R28" s="22">
        <f>IF($B28="","",IF(Config!$E$10="",0,SUMIFS('Leave Records'!$I:$I,'Leave Records'!$B:$B,$B28,'Leave Records'!$D:$D,Config!$E$10,'Leave Records'!$K:$K,"Pending")))</f>
        <v>0</v>
      </c>
      <c r="S28" s="9">
        <f t="shared" si="4"/>
        <v>0</v>
      </c>
      <c r="T28" s="19">
        <f>IF($B28="","",IFERROR(Config!$F$11,0))</f>
        <v>0</v>
      </c>
      <c r="U28" s="21">
        <f>IF($B28="","",IF(Config!$E$11="",0,SUMIFS('Leave Records'!$I:$I,'Leave Records'!$B:$B,$B28,'Leave Records'!$D:$D,Config!$E$11,'Leave Records'!$K:$K,"Approved")))</f>
        <v>0</v>
      </c>
      <c r="V28" s="22">
        <f>IF($B28="","",IF(Config!$E$11="",0,SUMIFS('Leave Records'!$I:$I,'Leave Records'!$B:$B,$B28,'Leave Records'!$D:$D,Config!$E$11,'Leave Records'!$K:$K,"Pending")))</f>
        <v>0</v>
      </c>
      <c r="W28" s="9">
        <f t="shared" si="5"/>
        <v>0</v>
      </c>
      <c r="X28" s="14">
        <f t="shared" si="6"/>
        <v>1</v>
      </c>
    </row>
    <row r="29" ht="17" customHeight="1" spans="1:24">
      <c r="A29" s="5">
        <f t="shared" si="0"/>
        <v>25</v>
      </c>
      <c r="B29" s="6" t="str">
        <f>IF(Config!$B$31="","",Config!$B$31)</f>
        <v>Md Murad Hoshen</v>
      </c>
      <c r="C29" s="7" t="str">
        <f>IF(Config!$B$31="","",Config!$C$31)</f>
        <v>IC Co-ordinator</v>
      </c>
      <c r="D29" s="19">
        <f>IF($B29="","",IFERROR(Config!$F$7,0))</f>
        <v>10</v>
      </c>
      <c r="E29" s="10">
        <f>IF($B29="","",IF(Config!$E$7="",0,SUMIFS('Leave Records'!$I:$I,'Leave Records'!$B:$B,$B29,'Leave Records'!$D:$D,Config!$E$7,'Leave Records'!$K:$K,"Approved")))</f>
        <v>2</v>
      </c>
      <c r="F29" s="20">
        <f>IF($B29="","",IF(Config!$E$7="",0,SUMIFS('Leave Records'!$I:$I,'Leave Records'!$B:$B,$B29,'Leave Records'!$D:$D,Config!$E$7,'Leave Records'!$K:$K,"Pending")))</f>
        <v>0</v>
      </c>
      <c r="G29" s="8">
        <f t="shared" si="1"/>
        <v>8</v>
      </c>
      <c r="H29" s="19">
        <f>IF($B29="","",IFERROR(Config!$F$8,0))</f>
        <v>5</v>
      </c>
      <c r="I29" s="10">
        <f>IF($B29="","",IF(Config!$E$8="",0,SUMIFS('Leave Records'!$I:$I,'Leave Records'!$B:$B,$B29,'Leave Records'!$D:$D,Config!$E$8,'Leave Records'!$K:$K,"Approved")))</f>
        <v>0</v>
      </c>
      <c r="J29" s="20">
        <f>IF($B29="","",IF(Config!$E$8="",0,SUMIFS('Leave Records'!$I:$I,'Leave Records'!$B:$B,$B29,'Leave Records'!$D:$D,Config!$E$8,'Leave Records'!$K:$K,"Pending")))</f>
        <v>0</v>
      </c>
      <c r="K29" s="8">
        <f t="shared" si="2"/>
        <v>5</v>
      </c>
      <c r="L29" s="19">
        <f>IF($B29="","",IFERROR(Config!$F$9,0))</f>
        <v>0</v>
      </c>
      <c r="M29" s="10">
        <f>IF($B29="","",IF(Config!$E$9="",0,SUMIFS('Leave Records'!$I:$I,'Leave Records'!$B:$B,$B29,'Leave Records'!$D:$D,Config!$E$9,'Leave Records'!$K:$K,"Approved")))</f>
        <v>0</v>
      </c>
      <c r="N29" s="20">
        <f>IF($B29="","",IF(Config!$E$9="",0,SUMIFS('Leave Records'!$I:$I,'Leave Records'!$B:$B,$B29,'Leave Records'!$D:$D,Config!$E$9,'Leave Records'!$K:$K,"Pending")))</f>
        <v>0</v>
      </c>
      <c r="O29" s="8">
        <f t="shared" si="3"/>
        <v>0</v>
      </c>
      <c r="P29" s="19">
        <f>IF($B29="","",IFERROR(Config!$F$10,0))</f>
        <v>0</v>
      </c>
      <c r="Q29" s="10">
        <f>IF($B29="","",IF(Config!$E$10="",0,SUMIFS('Leave Records'!$I:$I,'Leave Records'!$B:$B,$B29,'Leave Records'!$D:$D,Config!$E$10,'Leave Records'!$K:$K,"Approved")))</f>
        <v>0</v>
      </c>
      <c r="R29" s="20">
        <f>IF($B29="","",IF(Config!$E$10="",0,SUMIFS('Leave Records'!$I:$I,'Leave Records'!$B:$B,$B29,'Leave Records'!$D:$D,Config!$E$10,'Leave Records'!$K:$K,"Pending")))</f>
        <v>0</v>
      </c>
      <c r="S29" s="8">
        <f t="shared" si="4"/>
        <v>0</v>
      </c>
      <c r="T29" s="19">
        <f>IF($B29="","",IFERROR(Config!$F$11,0))</f>
        <v>0</v>
      </c>
      <c r="U29" s="10">
        <f>IF($B29="","",IF(Config!$E$11="",0,SUMIFS('Leave Records'!$I:$I,'Leave Records'!$B:$B,$B29,'Leave Records'!$D:$D,Config!$E$11,'Leave Records'!$K:$K,"Approved")))</f>
        <v>0</v>
      </c>
      <c r="V29" s="20">
        <f>IF($B29="","",IF(Config!$E$11="",0,SUMIFS('Leave Records'!$I:$I,'Leave Records'!$B:$B,$B29,'Leave Records'!$D:$D,Config!$E$11,'Leave Records'!$K:$K,"Pending")))</f>
        <v>0</v>
      </c>
      <c r="W29" s="8">
        <f t="shared" si="5"/>
        <v>0</v>
      </c>
      <c r="X29" s="11">
        <f t="shared" si="6"/>
        <v>2</v>
      </c>
    </row>
    <row r="30" ht="17" customHeight="1" spans="1:24">
      <c r="A30" s="5">
        <f t="shared" si="0"/>
        <v>26</v>
      </c>
      <c r="B30" s="12" t="str">
        <f>IF(Config!$B$32="","",Config!$B$32)</f>
        <v>Najmul Haque Masum</v>
      </c>
      <c r="C30" s="13" t="str">
        <f>IF(Config!$B$32="","",Config!$C$32)</f>
        <v>Subject Teacher (IC)</v>
      </c>
      <c r="D30" s="19">
        <f>IF($B30="","",IFERROR(Config!$F$7,0))</f>
        <v>10</v>
      </c>
      <c r="E30" s="21">
        <f>IF($B30="","",IF(Config!$E$7="",0,SUMIFS('Leave Records'!$I:$I,'Leave Records'!$B:$B,$B30,'Leave Records'!$D:$D,Config!$E$7,'Leave Records'!$K:$K,"Approved")))</f>
        <v>2</v>
      </c>
      <c r="F30" s="22">
        <f>IF($B30="","",IF(Config!$E$7="",0,SUMIFS('Leave Records'!$I:$I,'Leave Records'!$B:$B,$B30,'Leave Records'!$D:$D,Config!$E$7,'Leave Records'!$K:$K,"Pending")))</f>
        <v>0</v>
      </c>
      <c r="G30" s="9">
        <f t="shared" si="1"/>
        <v>8</v>
      </c>
      <c r="H30" s="19">
        <f>IF($B30="","",IFERROR(Config!$F$8,0))</f>
        <v>5</v>
      </c>
      <c r="I30" s="21">
        <f>IF($B30="","",IF(Config!$E$8="",0,SUMIFS('Leave Records'!$I:$I,'Leave Records'!$B:$B,$B30,'Leave Records'!$D:$D,Config!$E$8,'Leave Records'!$K:$K,"Approved")))</f>
        <v>1</v>
      </c>
      <c r="J30" s="22">
        <f>IF($B30="","",IF(Config!$E$8="",0,SUMIFS('Leave Records'!$I:$I,'Leave Records'!$B:$B,$B30,'Leave Records'!$D:$D,Config!$E$8,'Leave Records'!$K:$K,"Pending")))</f>
        <v>0</v>
      </c>
      <c r="K30" s="9">
        <f t="shared" si="2"/>
        <v>4</v>
      </c>
      <c r="L30" s="19">
        <f>IF($B30="","",IFERROR(Config!$F$9,0))</f>
        <v>0</v>
      </c>
      <c r="M30" s="21">
        <f>IF($B30="","",IF(Config!$E$9="",0,SUMIFS('Leave Records'!$I:$I,'Leave Records'!$B:$B,$B30,'Leave Records'!$D:$D,Config!$E$9,'Leave Records'!$K:$K,"Approved")))</f>
        <v>0</v>
      </c>
      <c r="N30" s="22">
        <f>IF($B30="","",IF(Config!$E$9="",0,SUMIFS('Leave Records'!$I:$I,'Leave Records'!$B:$B,$B30,'Leave Records'!$D:$D,Config!$E$9,'Leave Records'!$K:$K,"Pending")))</f>
        <v>0</v>
      </c>
      <c r="O30" s="9">
        <f t="shared" si="3"/>
        <v>0</v>
      </c>
      <c r="P30" s="19">
        <f>IF($B30="","",IFERROR(Config!$F$10,0))</f>
        <v>0</v>
      </c>
      <c r="Q30" s="21">
        <f>IF($B30="","",IF(Config!$E$10="",0,SUMIFS('Leave Records'!$I:$I,'Leave Records'!$B:$B,$B30,'Leave Records'!$D:$D,Config!$E$10,'Leave Records'!$K:$K,"Approved")))</f>
        <v>0</v>
      </c>
      <c r="R30" s="22">
        <f>IF($B30="","",IF(Config!$E$10="",0,SUMIFS('Leave Records'!$I:$I,'Leave Records'!$B:$B,$B30,'Leave Records'!$D:$D,Config!$E$10,'Leave Records'!$K:$K,"Pending")))</f>
        <v>0</v>
      </c>
      <c r="S30" s="9">
        <f t="shared" si="4"/>
        <v>0</v>
      </c>
      <c r="T30" s="19">
        <f>IF($B30="","",IFERROR(Config!$F$11,0))</f>
        <v>0</v>
      </c>
      <c r="U30" s="21">
        <f>IF($B30="","",IF(Config!$E$11="",0,SUMIFS('Leave Records'!$I:$I,'Leave Records'!$B:$B,$B30,'Leave Records'!$D:$D,Config!$E$11,'Leave Records'!$K:$K,"Approved")))</f>
        <v>0</v>
      </c>
      <c r="V30" s="22">
        <f>IF($B30="","",IF(Config!$E$11="",0,SUMIFS('Leave Records'!$I:$I,'Leave Records'!$B:$B,$B30,'Leave Records'!$D:$D,Config!$E$11,'Leave Records'!$K:$K,"Pending")))</f>
        <v>0</v>
      </c>
      <c r="W30" s="9">
        <f t="shared" si="5"/>
        <v>0</v>
      </c>
      <c r="X30" s="14">
        <f t="shared" si="6"/>
        <v>3</v>
      </c>
    </row>
    <row r="31" ht="17" customHeight="1" spans="1:24">
      <c r="A31" s="5">
        <f t="shared" si="0"/>
        <v>27</v>
      </c>
      <c r="B31" s="6" t="str">
        <f>IF(Config!$B$33="","",Config!$B$33)</f>
        <v>Rahnuman Nesa Chowdhury</v>
      </c>
      <c r="C31" s="7" t="str">
        <f>IF(Config!$B$33="","",Config!$C$33)</f>
        <v>Class Teacher</v>
      </c>
      <c r="D31" s="19">
        <f>IF($B31="","",IFERROR(Config!$F$7,0))</f>
        <v>10</v>
      </c>
      <c r="E31" s="10">
        <f>IF($B31="","",IF(Config!$E$7="",0,SUMIFS('Leave Records'!$I:$I,'Leave Records'!$B:$B,$B31,'Leave Records'!$D:$D,Config!$E$7,'Leave Records'!$K:$K,"Approved")))</f>
        <v>2</v>
      </c>
      <c r="F31" s="20">
        <f>IF($B31="","",IF(Config!$E$7="",0,SUMIFS('Leave Records'!$I:$I,'Leave Records'!$B:$B,$B31,'Leave Records'!$D:$D,Config!$E$7,'Leave Records'!$K:$K,"Pending")))</f>
        <v>0</v>
      </c>
      <c r="G31" s="8">
        <f t="shared" si="1"/>
        <v>8</v>
      </c>
      <c r="H31" s="19">
        <f>IF($B31="","",IFERROR(Config!$F$8,0))</f>
        <v>5</v>
      </c>
      <c r="I31" s="10">
        <f>IF($B31="","",IF(Config!$E$8="",0,SUMIFS('Leave Records'!$I:$I,'Leave Records'!$B:$B,$B31,'Leave Records'!$D:$D,Config!$E$8,'Leave Records'!$K:$K,"Approved")))</f>
        <v>0</v>
      </c>
      <c r="J31" s="20">
        <f>IF($B31="","",IF(Config!$E$8="",0,SUMIFS('Leave Records'!$I:$I,'Leave Records'!$B:$B,$B31,'Leave Records'!$D:$D,Config!$E$8,'Leave Records'!$K:$K,"Pending")))</f>
        <v>0</v>
      </c>
      <c r="K31" s="8">
        <f t="shared" si="2"/>
        <v>5</v>
      </c>
      <c r="L31" s="19">
        <f>IF($B31="","",IFERROR(Config!$F$9,0))</f>
        <v>0</v>
      </c>
      <c r="M31" s="10">
        <f>IF($B31="","",IF(Config!$E$9="",0,SUMIFS('Leave Records'!$I:$I,'Leave Records'!$B:$B,$B31,'Leave Records'!$D:$D,Config!$E$9,'Leave Records'!$K:$K,"Approved")))</f>
        <v>0</v>
      </c>
      <c r="N31" s="20">
        <f>IF($B31="","",IF(Config!$E$9="",0,SUMIFS('Leave Records'!$I:$I,'Leave Records'!$B:$B,$B31,'Leave Records'!$D:$D,Config!$E$9,'Leave Records'!$K:$K,"Pending")))</f>
        <v>0</v>
      </c>
      <c r="O31" s="8">
        <f t="shared" si="3"/>
        <v>0</v>
      </c>
      <c r="P31" s="19">
        <f>IF($B31="","",IFERROR(Config!$F$10,0))</f>
        <v>0</v>
      </c>
      <c r="Q31" s="10">
        <f>IF($B31="","",IF(Config!$E$10="",0,SUMIFS('Leave Records'!$I:$I,'Leave Records'!$B:$B,$B31,'Leave Records'!$D:$D,Config!$E$10,'Leave Records'!$K:$K,"Approved")))</f>
        <v>0</v>
      </c>
      <c r="R31" s="20">
        <f>IF($B31="","",IF(Config!$E$10="",0,SUMIFS('Leave Records'!$I:$I,'Leave Records'!$B:$B,$B31,'Leave Records'!$D:$D,Config!$E$10,'Leave Records'!$K:$K,"Pending")))</f>
        <v>0</v>
      </c>
      <c r="S31" s="8">
        <f t="shared" si="4"/>
        <v>0</v>
      </c>
      <c r="T31" s="19">
        <f>IF($B31="","",IFERROR(Config!$F$11,0))</f>
        <v>0</v>
      </c>
      <c r="U31" s="10">
        <f>IF($B31="","",IF(Config!$E$11="",0,SUMIFS('Leave Records'!$I:$I,'Leave Records'!$B:$B,$B31,'Leave Records'!$D:$D,Config!$E$11,'Leave Records'!$K:$K,"Approved")))</f>
        <v>0</v>
      </c>
      <c r="V31" s="20">
        <f>IF($B31="","",IF(Config!$E$11="",0,SUMIFS('Leave Records'!$I:$I,'Leave Records'!$B:$B,$B31,'Leave Records'!$D:$D,Config!$E$11,'Leave Records'!$K:$K,"Pending")))</f>
        <v>0</v>
      </c>
      <c r="W31" s="8">
        <f t="shared" si="5"/>
        <v>0</v>
      </c>
      <c r="X31" s="11">
        <f t="shared" si="6"/>
        <v>2</v>
      </c>
    </row>
    <row r="32" ht="17" customHeight="1" spans="1:24">
      <c r="A32" s="5">
        <f t="shared" si="0"/>
        <v>28</v>
      </c>
      <c r="B32" s="12" t="str">
        <f>IF(Config!$B$34="","",Config!$B$34)</f>
        <v>Othora Nausin Jafrin</v>
      </c>
      <c r="C32" s="13" t="str">
        <f>IF(Config!$B$34="","",Config!$C$34)</f>
        <v>Assistant Teacher</v>
      </c>
      <c r="D32" s="19">
        <f>IF($B32="","",IFERROR(Config!$F$7,0))</f>
        <v>10</v>
      </c>
      <c r="E32" s="21">
        <f>IF($B32="","",IF(Config!$E$7="",0,SUMIFS('Leave Records'!$I:$I,'Leave Records'!$B:$B,$B32,'Leave Records'!$D:$D,Config!$E$7,'Leave Records'!$K:$K,"Approved")))</f>
        <v>3</v>
      </c>
      <c r="F32" s="22">
        <f>IF($B32="","",IF(Config!$E$7="",0,SUMIFS('Leave Records'!$I:$I,'Leave Records'!$B:$B,$B32,'Leave Records'!$D:$D,Config!$E$7,'Leave Records'!$K:$K,"Pending")))</f>
        <v>0</v>
      </c>
      <c r="G32" s="9">
        <f t="shared" si="1"/>
        <v>7</v>
      </c>
      <c r="H32" s="19">
        <f>IF($B32="","",IFERROR(Config!$F$8,0))</f>
        <v>5</v>
      </c>
      <c r="I32" s="21">
        <f>IF($B32="","",IF(Config!$E$8="",0,SUMIFS('Leave Records'!$I:$I,'Leave Records'!$B:$B,$B32,'Leave Records'!$D:$D,Config!$E$8,'Leave Records'!$K:$K,"Approved")))</f>
        <v>0</v>
      </c>
      <c r="J32" s="22">
        <f>IF($B32="","",IF(Config!$E$8="",0,SUMIFS('Leave Records'!$I:$I,'Leave Records'!$B:$B,$B32,'Leave Records'!$D:$D,Config!$E$8,'Leave Records'!$K:$K,"Pending")))</f>
        <v>0</v>
      </c>
      <c r="K32" s="9">
        <f t="shared" si="2"/>
        <v>5</v>
      </c>
      <c r="L32" s="19">
        <f>IF($B32="","",IFERROR(Config!$F$9,0))</f>
        <v>0</v>
      </c>
      <c r="M32" s="21">
        <f>IF($B32="","",IF(Config!$E$9="",0,SUMIFS('Leave Records'!$I:$I,'Leave Records'!$B:$B,$B32,'Leave Records'!$D:$D,Config!$E$9,'Leave Records'!$K:$K,"Approved")))</f>
        <v>0</v>
      </c>
      <c r="N32" s="22">
        <f>IF($B32="","",IF(Config!$E$9="",0,SUMIFS('Leave Records'!$I:$I,'Leave Records'!$B:$B,$B32,'Leave Records'!$D:$D,Config!$E$9,'Leave Records'!$K:$K,"Pending")))</f>
        <v>0</v>
      </c>
      <c r="O32" s="9">
        <f t="shared" si="3"/>
        <v>0</v>
      </c>
      <c r="P32" s="19">
        <f>IF($B32="","",IFERROR(Config!$F$10,0))</f>
        <v>0</v>
      </c>
      <c r="Q32" s="21">
        <f>IF($B32="","",IF(Config!$E$10="",0,SUMIFS('Leave Records'!$I:$I,'Leave Records'!$B:$B,$B32,'Leave Records'!$D:$D,Config!$E$10,'Leave Records'!$K:$K,"Approved")))</f>
        <v>0</v>
      </c>
      <c r="R32" s="22">
        <f>IF($B32="","",IF(Config!$E$10="",0,SUMIFS('Leave Records'!$I:$I,'Leave Records'!$B:$B,$B32,'Leave Records'!$D:$D,Config!$E$10,'Leave Records'!$K:$K,"Pending")))</f>
        <v>0</v>
      </c>
      <c r="S32" s="9">
        <f t="shared" si="4"/>
        <v>0</v>
      </c>
      <c r="T32" s="19">
        <f>IF($B32="","",IFERROR(Config!$F$11,0))</f>
        <v>0</v>
      </c>
      <c r="U32" s="21">
        <f>IF($B32="","",IF(Config!$E$11="",0,SUMIFS('Leave Records'!$I:$I,'Leave Records'!$B:$B,$B32,'Leave Records'!$D:$D,Config!$E$11,'Leave Records'!$K:$K,"Approved")))</f>
        <v>0</v>
      </c>
      <c r="V32" s="22">
        <f>IF($B32="","",IF(Config!$E$11="",0,SUMIFS('Leave Records'!$I:$I,'Leave Records'!$B:$B,$B32,'Leave Records'!$D:$D,Config!$E$11,'Leave Records'!$K:$K,"Pending")))</f>
        <v>0</v>
      </c>
      <c r="W32" s="9">
        <f t="shared" si="5"/>
        <v>0</v>
      </c>
      <c r="X32" s="14">
        <f t="shared" si="6"/>
        <v>3</v>
      </c>
    </row>
    <row r="33" ht="17" customHeight="1" spans="1:24">
      <c r="A33" s="5">
        <f t="shared" si="0"/>
        <v>29</v>
      </c>
      <c r="B33" s="6" t="str">
        <f>IF(Config!$B$35="","",Config!$B$35)</f>
        <v>Md Rahat Chy</v>
      </c>
      <c r="C33" s="7" t="str">
        <f>IF(Config!$B$35="","",Config!$C$35)</f>
        <v/>
      </c>
      <c r="D33" s="19">
        <f>IF($B33="","",IFERROR(Config!$F$7,0))</f>
        <v>10</v>
      </c>
      <c r="E33" s="10">
        <f>IF($B33="","",IF(Config!$E$7="",0,SUMIFS('Leave Records'!$I:$I,'Leave Records'!$B:$B,$B33,'Leave Records'!$D:$D,Config!$E$7,'Leave Records'!$K:$K,"Approved")))</f>
        <v>0</v>
      </c>
      <c r="F33" s="20">
        <f>IF($B33="","",IF(Config!$E$7="",0,SUMIFS('Leave Records'!$I:$I,'Leave Records'!$B:$B,$B33,'Leave Records'!$D:$D,Config!$E$7,'Leave Records'!$K:$K,"Pending")))</f>
        <v>0</v>
      </c>
      <c r="G33" s="8">
        <f t="shared" si="1"/>
        <v>10</v>
      </c>
      <c r="H33" s="19">
        <f>IF($B33="","",IFERROR(Config!$F$8,0))</f>
        <v>5</v>
      </c>
      <c r="I33" s="10">
        <f>IF($B33="","",IF(Config!$E$8="",0,SUMIFS('Leave Records'!$I:$I,'Leave Records'!$B:$B,$B33,'Leave Records'!$D:$D,Config!$E$8,'Leave Records'!$K:$K,"Approved")))</f>
        <v>0</v>
      </c>
      <c r="J33" s="20">
        <f>IF($B33="","",IF(Config!$E$8="",0,SUMIFS('Leave Records'!$I:$I,'Leave Records'!$B:$B,$B33,'Leave Records'!$D:$D,Config!$E$8,'Leave Records'!$K:$K,"Pending")))</f>
        <v>0</v>
      </c>
      <c r="K33" s="8">
        <f t="shared" si="2"/>
        <v>5</v>
      </c>
      <c r="L33" s="19">
        <f>IF($B33="","",IFERROR(Config!$F$9,0))</f>
        <v>0</v>
      </c>
      <c r="M33" s="10">
        <f>IF($B33="","",IF(Config!$E$9="",0,SUMIFS('Leave Records'!$I:$I,'Leave Records'!$B:$B,$B33,'Leave Records'!$D:$D,Config!$E$9,'Leave Records'!$K:$K,"Approved")))</f>
        <v>0</v>
      </c>
      <c r="N33" s="20">
        <f>IF($B33="","",IF(Config!$E$9="",0,SUMIFS('Leave Records'!$I:$I,'Leave Records'!$B:$B,$B33,'Leave Records'!$D:$D,Config!$E$9,'Leave Records'!$K:$K,"Pending")))</f>
        <v>0</v>
      </c>
      <c r="O33" s="8">
        <f t="shared" si="3"/>
        <v>0</v>
      </c>
      <c r="P33" s="19">
        <f>IF($B33="","",IFERROR(Config!$F$10,0))</f>
        <v>0</v>
      </c>
      <c r="Q33" s="10">
        <f>IF($B33="","",IF(Config!$E$10="",0,SUMIFS('Leave Records'!$I:$I,'Leave Records'!$B:$B,$B33,'Leave Records'!$D:$D,Config!$E$10,'Leave Records'!$K:$K,"Approved")))</f>
        <v>0</v>
      </c>
      <c r="R33" s="20">
        <f>IF($B33="","",IF(Config!$E$10="",0,SUMIFS('Leave Records'!$I:$I,'Leave Records'!$B:$B,$B33,'Leave Records'!$D:$D,Config!$E$10,'Leave Records'!$K:$K,"Pending")))</f>
        <v>0</v>
      </c>
      <c r="S33" s="8">
        <f t="shared" si="4"/>
        <v>0</v>
      </c>
      <c r="T33" s="19">
        <f>IF($B33="","",IFERROR(Config!$F$11,0))</f>
        <v>0</v>
      </c>
      <c r="U33" s="10">
        <f>IF($B33="","",IF(Config!$E$11="",0,SUMIFS('Leave Records'!$I:$I,'Leave Records'!$B:$B,$B33,'Leave Records'!$D:$D,Config!$E$11,'Leave Records'!$K:$K,"Approved")))</f>
        <v>0</v>
      </c>
      <c r="V33" s="20">
        <f>IF($B33="","",IF(Config!$E$11="",0,SUMIFS('Leave Records'!$I:$I,'Leave Records'!$B:$B,$B33,'Leave Records'!$D:$D,Config!$E$11,'Leave Records'!$K:$K,"Pending")))</f>
        <v>0</v>
      </c>
      <c r="W33" s="8">
        <f t="shared" si="5"/>
        <v>0</v>
      </c>
      <c r="X33" s="11">
        <f t="shared" si="6"/>
        <v>0</v>
      </c>
    </row>
    <row r="34" ht="17" customHeight="1" spans="1:24">
      <c r="A34" s="5">
        <f t="shared" si="0"/>
        <v>30</v>
      </c>
      <c r="B34" s="12" t="str">
        <f>IF(Config!$B$36="","",Config!$B$36)</f>
        <v>Sania Rahman</v>
      </c>
      <c r="C34" s="13" t="str">
        <f>IF(Config!$B$36="","",Config!$C$36)</f>
        <v>Class Teacher</v>
      </c>
      <c r="D34" s="19">
        <f>IF($B34="","",IFERROR(Config!$F$7,0))</f>
        <v>10</v>
      </c>
      <c r="E34" s="21">
        <f>IF($B34="","",IF(Config!$E$7="",0,SUMIFS('Leave Records'!$I:$I,'Leave Records'!$B:$B,$B34,'Leave Records'!$D:$D,Config!$E$7,'Leave Records'!$K:$K,"Approved")))</f>
        <v>3</v>
      </c>
      <c r="F34" s="22">
        <f>IF($B34="","",IF(Config!$E$7="",0,SUMIFS('Leave Records'!$I:$I,'Leave Records'!$B:$B,$B34,'Leave Records'!$D:$D,Config!$E$7,'Leave Records'!$K:$K,"Pending")))</f>
        <v>0</v>
      </c>
      <c r="G34" s="9">
        <f t="shared" si="1"/>
        <v>7</v>
      </c>
      <c r="H34" s="19">
        <f>IF($B34="","",IFERROR(Config!$F$8,0))</f>
        <v>5</v>
      </c>
      <c r="I34" s="21">
        <f>IF($B34="","",IF(Config!$E$8="",0,SUMIFS('Leave Records'!$I:$I,'Leave Records'!$B:$B,$B34,'Leave Records'!$D:$D,Config!$E$8,'Leave Records'!$K:$K,"Approved")))</f>
        <v>0</v>
      </c>
      <c r="J34" s="22">
        <f>IF($B34="","",IF(Config!$E$8="",0,SUMIFS('Leave Records'!$I:$I,'Leave Records'!$B:$B,$B34,'Leave Records'!$D:$D,Config!$E$8,'Leave Records'!$K:$K,"Pending")))</f>
        <v>0</v>
      </c>
      <c r="K34" s="9">
        <f t="shared" si="2"/>
        <v>5</v>
      </c>
      <c r="L34" s="19">
        <f>IF($B34="","",IFERROR(Config!$F$9,0))</f>
        <v>0</v>
      </c>
      <c r="M34" s="21">
        <f>IF($B34="","",IF(Config!$E$9="",0,SUMIFS('Leave Records'!$I:$I,'Leave Records'!$B:$B,$B34,'Leave Records'!$D:$D,Config!$E$9,'Leave Records'!$K:$K,"Approved")))</f>
        <v>0</v>
      </c>
      <c r="N34" s="22">
        <f>IF($B34="","",IF(Config!$E$9="",0,SUMIFS('Leave Records'!$I:$I,'Leave Records'!$B:$B,$B34,'Leave Records'!$D:$D,Config!$E$9,'Leave Records'!$K:$K,"Pending")))</f>
        <v>0</v>
      </c>
      <c r="O34" s="9">
        <f t="shared" si="3"/>
        <v>0</v>
      </c>
      <c r="P34" s="19">
        <f>IF($B34="","",IFERROR(Config!$F$10,0))</f>
        <v>0</v>
      </c>
      <c r="Q34" s="21">
        <f>IF($B34="","",IF(Config!$E$10="",0,SUMIFS('Leave Records'!$I:$I,'Leave Records'!$B:$B,$B34,'Leave Records'!$D:$D,Config!$E$10,'Leave Records'!$K:$K,"Approved")))</f>
        <v>0</v>
      </c>
      <c r="R34" s="22">
        <f>IF($B34="","",IF(Config!$E$10="",0,SUMIFS('Leave Records'!$I:$I,'Leave Records'!$B:$B,$B34,'Leave Records'!$D:$D,Config!$E$10,'Leave Records'!$K:$K,"Pending")))</f>
        <v>0</v>
      </c>
      <c r="S34" s="9">
        <f t="shared" si="4"/>
        <v>0</v>
      </c>
      <c r="T34" s="19">
        <f>IF($B34="","",IFERROR(Config!$F$11,0))</f>
        <v>0</v>
      </c>
      <c r="U34" s="21">
        <f>IF($B34="","",IF(Config!$E$11="",0,SUMIFS('Leave Records'!$I:$I,'Leave Records'!$B:$B,$B34,'Leave Records'!$D:$D,Config!$E$11,'Leave Records'!$K:$K,"Approved")))</f>
        <v>0</v>
      </c>
      <c r="V34" s="22">
        <f>IF($B34="","",IF(Config!$E$11="",0,SUMIFS('Leave Records'!$I:$I,'Leave Records'!$B:$B,$B34,'Leave Records'!$D:$D,Config!$E$11,'Leave Records'!$K:$K,"Pending")))</f>
        <v>0</v>
      </c>
      <c r="W34" s="9">
        <f t="shared" si="5"/>
        <v>0</v>
      </c>
      <c r="X34" s="14">
        <f t="shared" si="6"/>
        <v>3</v>
      </c>
    </row>
    <row r="35" ht="17" customHeight="1" spans="1:24">
      <c r="A35" s="5">
        <f t="shared" si="0"/>
        <v>31</v>
      </c>
      <c r="B35" s="6" t="str">
        <f>IF(Config!$B$37="","",Config!$B$37)</f>
        <v>Jaharin Subah</v>
      </c>
      <c r="C35" s="7" t="str">
        <f>IF(Config!$B$37="","",Config!$C$37)</f>
        <v>Class Teacher</v>
      </c>
      <c r="D35" s="19">
        <f>IF($B35="","",IFERROR(Config!$F$7,0))</f>
        <v>10</v>
      </c>
      <c r="E35" s="10">
        <f>IF($B35="","",IF(Config!$E$7="",0,SUMIFS('Leave Records'!$I:$I,'Leave Records'!$B:$B,$B35,'Leave Records'!$D:$D,Config!$E$7,'Leave Records'!$K:$K,"Approved")))</f>
        <v>1</v>
      </c>
      <c r="F35" s="20">
        <f>IF($B35="","",IF(Config!$E$7="",0,SUMIFS('Leave Records'!$I:$I,'Leave Records'!$B:$B,$B35,'Leave Records'!$D:$D,Config!$E$7,'Leave Records'!$K:$K,"Pending")))</f>
        <v>0</v>
      </c>
      <c r="G35" s="8">
        <f t="shared" si="1"/>
        <v>9</v>
      </c>
      <c r="H35" s="19">
        <f>IF($B35="","",IFERROR(Config!$F$8,0))</f>
        <v>5</v>
      </c>
      <c r="I35" s="10">
        <f>IF($B35="","",IF(Config!$E$8="",0,SUMIFS('Leave Records'!$I:$I,'Leave Records'!$B:$B,$B35,'Leave Records'!$D:$D,Config!$E$8,'Leave Records'!$K:$K,"Approved")))</f>
        <v>0</v>
      </c>
      <c r="J35" s="20">
        <f>IF($B35="","",IF(Config!$E$8="",0,SUMIFS('Leave Records'!$I:$I,'Leave Records'!$B:$B,$B35,'Leave Records'!$D:$D,Config!$E$8,'Leave Records'!$K:$K,"Pending")))</f>
        <v>0</v>
      </c>
      <c r="K35" s="8">
        <f t="shared" si="2"/>
        <v>5</v>
      </c>
      <c r="L35" s="19">
        <f>IF($B35="","",IFERROR(Config!$F$9,0))</f>
        <v>0</v>
      </c>
      <c r="M35" s="10">
        <f>IF($B35="","",IF(Config!$E$9="",0,SUMIFS('Leave Records'!$I:$I,'Leave Records'!$B:$B,$B35,'Leave Records'!$D:$D,Config!$E$9,'Leave Records'!$K:$K,"Approved")))</f>
        <v>0</v>
      </c>
      <c r="N35" s="20">
        <f>IF($B35="","",IF(Config!$E$9="",0,SUMIFS('Leave Records'!$I:$I,'Leave Records'!$B:$B,$B35,'Leave Records'!$D:$D,Config!$E$9,'Leave Records'!$K:$K,"Pending")))</f>
        <v>0</v>
      </c>
      <c r="O35" s="8">
        <f t="shared" si="3"/>
        <v>0</v>
      </c>
      <c r="P35" s="19">
        <f>IF($B35="","",IFERROR(Config!$F$10,0))</f>
        <v>0</v>
      </c>
      <c r="Q35" s="10">
        <f>IF($B35="","",IF(Config!$E$10="",0,SUMIFS('Leave Records'!$I:$I,'Leave Records'!$B:$B,$B35,'Leave Records'!$D:$D,Config!$E$10,'Leave Records'!$K:$K,"Approved")))</f>
        <v>0</v>
      </c>
      <c r="R35" s="20">
        <f>IF($B35="","",IF(Config!$E$10="",0,SUMIFS('Leave Records'!$I:$I,'Leave Records'!$B:$B,$B35,'Leave Records'!$D:$D,Config!$E$10,'Leave Records'!$K:$K,"Pending")))</f>
        <v>0</v>
      </c>
      <c r="S35" s="8">
        <f t="shared" si="4"/>
        <v>0</v>
      </c>
      <c r="T35" s="19">
        <f>IF($B35="","",IFERROR(Config!$F$11,0))</f>
        <v>0</v>
      </c>
      <c r="U35" s="10">
        <f>IF($B35="","",IF(Config!$E$11="",0,SUMIFS('Leave Records'!$I:$I,'Leave Records'!$B:$B,$B35,'Leave Records'!$D:$D,Config!$E$11,'Leave Records'!$K:$K,"Approved")))</f>
        <v>0</v>
      </c>
      <c r="V35" s="20">
        <f>IF($B35="","",IF(Config!$E$11="",0,SUMIFS('Leave Records'!$I:$I,'Leave Records'!$B:$B,$B35,'Leave Records'!$D:$D,Config!$E$11,'Leave Records'!$K:$K,"Pending")))</f>
        <v>0</v>
      </c>
      <c r="W35" s="8">
        <f t="shared" si="5"/>
        <v>0</v>
      </c>
      <c r="X35" s="11">
        <f t="shared" si="6"/>
        <v>1</v>
      </c>
    </row>
    <row r="36" ht="17" customHeight="1" spans="1:24">
      <c r="A36" s="5">
        <f t="shared" si="0"/>
        <v>32</v>
      </c>
      <c r="B36" s="12" t="str">
        <f>IF(Config!$B$38="","",Config!$B$38)</f>
        <v>Afroza Akter</v>
      </c>
      <c r="C36" s="13" t="str">
        <f>IF(Config!$B$38="","",Config!$C$38)</f>
        <v/>
      </c>
      <c r="D36" s="19">
        <f>IF($B36="","",IFERROR(Config!$F$7,0))</f>
        <v>10</v>
      </c>
      <c r="E36" s="21">
        <f>IF($B36="","",IF(Config!$E$7="",0,SUMIFS('Leave Records'!$I:$I,'Leave Records'!$B:$B,$B36,'Leave Records'!$D:$D,Config!$E$7,'Leave Records'!$K:$K,"Approved")))</f>
        <v>0</v>
      </c>
      <c r="F36" s="22">
        <f>IF($B36="","",IF(Config!$E$7="",0,SUMIFS('Leave Records'!$I:$I,'Leave Records'!$B:$B,$B36,'Leave Records'!$D:$D,Config!$E$7,'Leave Records'!$K:$K,"Pending")))</f>
        <v>0</v>
      </c>
      <c r="G36" s="9">
        <f t="shared" si="1"/>
        <v>10</v>
      </c>
      <c r="H36" s="19">
        <f>IF($B36="","",IFERROR(Config!$F$8,0))</f>
        <v>5</v>
      </c>
      <c r="I36" s="21">
        <f>IF($B36="","",IF(Config!$E$8="",0,SUMIFS('Leave Records'!$I:$I,'Leave Records'!$B:$B,$B36,'Leave Records'!$D:$D,Config!$E$8,'Leave Records'!$K:$K,"Approved")))</f>
        <v>0</v>
      </c>
      <c r="J36" s="22">
        <f>IF($B36="","",IF(Config!$E$8="",0,SUMIFS('Leave Records'!$I:$I,'Leave Records'!$B:$B,$B36,'Leave Records'!$D:$D,Config!$E$8,'Leave Records'!$K:$K,"Pending")))</f>
        <v>0</v>
      </c>
      <c r="K36" s="9">
        <f t="shared" si="2"/>
        <v>5</v>
      </c>
      <c r="L36" s="19">
        <f>IF($B36="","",IFERROR(Config!$F$9,0))</f>
        <v>0</v>
      </c>
      <c r="M36" s="21">
        <f>IF($B36="","",IF(Config!$E$9="",0,SUMIFS('Leave Records'!$I:$I,'Leave Records'!$B:$B,$B36,'Leave Records'!$D:$D,Config!$E$9,'Leave Records'!$K:$K,"Approved")))</f>
        <v>0</v>
      </c>
      <c r="N36" s="22">
        <f>IF($B36="","",IF(Config!$E$9="",0,SUMIFS('Leave Records'!$I:$I,'Leave Records'!$B:$B,$B36,'Leave Records'!$D:$D,Config!$E$9,'Leave Records'!$K:$K,"Pending")))</f>
        <v>0</v>
      </c>
      <c r="O36" s="9">
        <f t="shared" si="3"/>
        <v>0</v>
      </c>
      <c r="P36" s="19">
        <f>IF($B36="","",IFERROR(Config!$F$10,0))</f>
        <v>0</v>
      </c>
      <c r="Q36" s="21">
        <f>IF($B36="","",IF(Config!$E$10="",0,SUMIFS('Leave Records'!$I:$I,'Leave Records'!$B:$B,$B36,'Leave Records'!$D:$D,Config!$E$10,'Leave Records'!$K:$K,"Approved")))</f>
        <v>0</v>
      </c>
      <c r="R36" s="22">
        <f>IF($B36="","",IF(Config!$E$10="",0,SUMIFS('Leave Records'!$I:$I,'Leave Records'!$B:$B,$B36,'Leave Records'!$D:$D,Config!$E$10,'Leave Records'!$K:$K,"Pending")))</f>
        <v>0</v>
      </c>
      <c r="S36" s="9">
        <f t="shared" si="4"/>
        <v>0</v>
      </c>
      <c r="T36" s="19">
        <f>IF($B36="","",IFERROR(Config!$F$11,0))</f>
        <v>0</v>
      </c>
      <c r="U36" s="21">
        <f>IF($B36="","",IF(Config!$E$11="",0,SUMIFS('Leave Records'!$I:$I,'Leave Records'!$B:$B,$B36,'Leave Records'!$D:$D,Config!$E$11,'Leave Records'!$K:$K,"Approved")))</f>
        <v>0</v>
      </c>
      <c r="V36" s="22">
        <f>IF($B36="","",IF(Config!$E$11="",0,SUMIFS('Leave Records'!$I:$I,'Leave Records'!$B:$B,$B36,'Leave Records'!$D:$D,Config!$E$11,'Leave Records'!$K:$K,"Pending")))</f>
        <v>0</v>
      </c>
      <c r="W36" s="9">
        <f t="shared" si="5"/>
        <v>0</v>
      </c>
      <c r="X36" s="14">
        <f t="shared" si="6"/>
        <v>0</v>
      </c>
    </row>
    <row r="37" ht="17" customHeight="1" spans="1:24">
      <c r="A37" s="5">
        <f t="shared" si="0"/>
        <v>33</v>
      </c>
      <c r="B37" s="6" t="str">
        <f>IF(Config!$B$39="","",Config!$B$39)</f>
        <v>Ummay Hani Juthi</v>
      </c>
      <c r="C37" s="7" t="str">
        <f>IF(Config!$B$39="","",Config!$C$39)</f>
        <v>Lead Teacher</v>
      </c>
      <c r="D37" s="19">
        <f>IF($B37="","",IFERROR(Config!$F$7,0))</f>
        <v>10</v>
      </c>
      <c r="E37" s="10">
        <f>IF($B37="","",IF(Config!$E$7="",0,SUMIFS('Leave Records'!$I:$I,'Leave Records'!$B:$B,$B37,'Leave Records'!$D:$D,Config!$E$7,'Leave Records'!$K:$K,"Approved")))</f>
        <v>4</v>
      </c>
      <c r="F37" s="20">
        <f>IF($B37="","",IF(Config!$E$7="",0,SUMIFS('Leave Records'!$I:$I,'Leave Records'!$B:$B,$B37,'Leave Records'!$D:$D,Config!$E$7,'Leave Records'!$K:$K,"Pending")))</f>
        <v>0</v>
      </c>
      <c r="G37" s="8">
        <f t="shared" si="1"/>
        <v>6</v>
      </c>
      <c r="H37" s="19">
        <f>IF($B37="","",IFERROR(Config!$F$8,0))</f>
        <v>5</v>
      </c>
      <c r="I37" s="10">
        <f>IF($B37="","",IF(Config!$E$8="",0,SUMIFS('Leave Records'!$I:$I,'Leave Records'!$B:$B,$B37,'Leave Records'!$D:$D,Config!$E$8,'Leave Records'!$K:$K,"Approved")))</f>
        <v>0</v>
      </c>
      <c r="J37" s="20">
        <f>IF($B37="","",IF(Config!$E$8="",0,SUMIFS('Leave Records'!$I:$I,'Leave Records'!$B:$B,$B37,'Leave Records'!$D:$D,Config!$E$8,'Leave Records'!$K:$K,"Pending")))</f>
        <v>0</v>
      </c>
      <c r="K37" s="8">
        <f t="shared" si="2"/>
        <v>5</v>
      </c>
      <c r="L37" s="19">
        <f>IF($B37="","",IFERROR(Config!$F$9,0))</f>
        <v>0</v>
      </c>
      <c r="M37" s="10">
        <f>IF($B37="","",IF(Config!$E$9="",0,SUMIFS('Leave Records'!$I:$I,'Leave Records'!$B:$B,$B37,'Leave Records'!$D:$D,Config!$E$9,'Leave Records'!$K:$K,"Approved")))</f>
        <v>0</v>
      </c>
      <c r="N37" s="20">
        <f>IF($B37="","",IF(Config!$E$9="",0,SUMIFS('Leave Records'!$I:$I,'Leave Records'!$B:$B,$B37,'Leave Records'!$D:$D,Config!$E$9,'Leave Records'!$K:$K,"Pending")))</f>
        <v>0</v>
      </c>
      <c r="O37" s="8">
        <f t="shared" si="3"/>
        <v>0</v>
      </c>
      <c r="P37" s="19">
        <f>IF($B37="","",IFERROR(Config!$F$10,0))</f>
        <v>0</v>
      </c>
      <c r="Q37" s="10">
        <f>IF($B37="","",IF(Config!$E$10="",0,SUMIFS('Leave Records'!$I:$I,'Leave Records'!$B:$B,$B37,'Leave Records'!$D:$D,Config!$E$10,'Leave Records'!$K:$K,"Approved")))</f>
        <v>0</v>
      </c>
      <c r="R37" s="20">
        <f>IF($B37="","",IF(Config!$E$10="",0,SUMIFS('Leave Records'!$I:$I,'Leave Records'!$B:$B,$B37,'Leave Records'!$D:$D,Config!$E$10,'Leave Records'!$K:$K,"Pending")))</f>
        <v>0</v>
      </c>
      <c r="S37" s="8">
        <f t="shared" si="4"/>
        <v>0</v>
      </c>
      <c r="T37" s="19">
        <f>IF($B37="","",IFERROR(Config!$F$11,0))</f>
        <v>0</v>
      </c>
      <c r="U37" s="10">
        <f>IF($B37="","",IF(Config!$E$11="",0,SUMIFS('Leave Records'!$I:$I,'Leave Records'!$B:$B,$B37,'Leave Records'!$D:$D,Config!$E$11,'Leave Records'!$K:$K,"Approved")))</f>
        <v>0</v>
      </c>
      <c r="V37" s="20">
        <f>IF($B37="","",IF(Config!$E$11="",0,SUMIFS('Leave Records'!$I:$I,'Leave Records'!$B:$B,$B37,'Leave Records'!$D:$D,Config!$E$11,'Leave Records'!$K:$K,"Pending")))</f>
        <v>0</v>
      </c>
      <c r="W37" s="8">
        <f t="shared" si="5"/>
        <v>0</v>
      </c>
      <c r="X37" s="11">
        <f t="shared" si="6"/>
        <v>4</v>
      </c>
    </row>
    <row r="38" ht="17" customHeight="1" spans="1:24">
      <c r="A38" s="5">
        <f t="shared" si="0"/>
        <v>34</v>
      </c>
      <c r="B38" s="12" t="str">
        <f>IF(Config!$B$40="","",Config!$B$40)</f>
        <v>Tanzina Haque</v>
      </c>
      <c r="C38" s="13" t="str">
        <f>IF(Config!$B$40="","",Config!$C$40)</f>
        <v>Subject Teacher</v>
      </c>
      <c r="D38" s="19">
        <f>IF($B38="","",IFERROR(Config!$F$7,0))</f>
        <v>10</v>
      </c>
      <c r="E38" s="21">
        <f>IF($B38="","",IF(Config!$E$7="",0,SUMIFS('Leave Records'!$I:$I,'Leave Records'!$B:$B,$B38,'Leave Records'!$D:$D,Config!$E$7,'Leave Records'!$K:$K,"Approved")))</f>
        <v>1</v>
      </c>
      <c r="F38" s="22">
        <f>IF($B38="","",IF(Config!$E$7="",0,SUMIFS('Leave Records'!$I:$I,'Leave Records'!$B:$B,$B38,'Leave Records'!$D:$D,Config!$E$7,'Leave Records'!$K:$K,"Pending")))</f>
        <v>0</v>
      </c>
      <c r="G38" s="9">
        <f t="shared" si="1"/>
        <v>9</v>
      </c>
      <c r="H38" s="19">
        <f>IF($B38="","",IFERROR(Config!$F$8,0))</f>
        <v>5</v>
      </c>
      <c r="I38" s="21">
        <f>IF($B38="","",IF(Config!$E$8="",0,SUMIFS('Leave Records'!$I:$I,'Leave Records'!$B:$B,$B38,'Leave Records'!$D:$D,Config!$E$8,'Leave Records'!$K:$K,"Approved")))</f>
        <v>1</v>
      </c>
      <c r="J38" s="22">
        <f>IF($B38="","",IF(Config!$E$8="",0,SUMIFS('Leave Records'!$I:$I,'Leave Records'!$B:$B,$B38,'Leave Records'!$D:$D,Config!$E$8,'Leave Records'!$K:$K,"Pending")))</f>
        <v>0</v>
      </c>
      <c r="K38" s="9">
        <f t="shared" si="2"/>
        <v>4</v>
      </c>
      <c r="L38" s="19">
        <f>IF($B38="","",IFERROR(Config!$F$9,0))</f>
        <v>0</v>
      </c>
      <c r="M38" s="21">
        <f>IF($B38="","",IF(Config!$E$9="",0,SUMIFS('Leave Records'!$I:$I,'Leave Records'!$B:$B,$B38,'Leave Records'!$D:$D,Config!$E$9,'Leave Records'!$K:$K,"Approved")))</f>
        <v>0</v>
      </c>
      <c r="N38" s="22">
        <f>IF($B38="","",IF(Config!$E$9="",0,SUMIFS('Leave Records'!$I:$I,'Leave Records'!$B:$B,$B38,'Leave Records'!$D:$D,Config!$E$9,'Leave Records'!$K:$K,"Pending")))</f>
        <v>0</v>
      </c>
      <c r="O38" s="9">
        <f t="shared" si="3"/>
        <v>0</v>
      </c>
      <c r="P38" s="19">
        <f>IF($B38="","",IFERROR(Config!$F$10,0))</f>
        <v>0</v>
      </c>
      <c r="Q38" s="21">
        <f>IF($B38="","",IF(Config!$E$10="",0,SUMIFS('Leave Records'!$I:$I,'Leave Records'!$B:$B,$B38,'Leave Records'!$D:$D,Config!$E$10,'Leave Records'!$K:$K,"Approved")))</f>
        <v>0</v>
      </c>
      <c r="R38" s="22">
        <f>IF($B38="","",IF(Config!$E$10="",0,SUMIFS('Leave Records'!$I:$I,'Leave Records'!$B:$B,$B38,'Leave Records'!$D:$D,Config!$E$10,'Leave Records'!$K:$K,"Pending")))</f>
        <v>0</v>
      </c>
      <c r="S38" s="9">
        <f t="shared" si="4"/>
        <v>0</v>
      </c>
      <c r="T38" s="19">
        <f>IF($B38="","",IFERROR(Config!$F$11,0))</f>
        <v>0</v>
      </c>
      <c r="U38" s="21">
        <f>IF($B38="","",IF(Config!$E$11="",0,SUMIFS('Leave Records'!$I:$I,'Leave Records'!$B:$B,$B38,'Leave Records'!$D:$D,Config!$E$11,'Leave Records'!$K:$K,"Approved")))</f>
        <v>0</v>
      </c>
      <c r="V38" s="22">
        <f>IF($B38="","",IF(Config!$E$11="",0,SUMIFS('Leave Records'!$I:$I,'Leave Records'!$B:$B,$B38,'Leave Records'!$D:$D,Config!$E$11,'Leave Records'!$K:$K,"Pending")))</f>
        <v>0</v>
      </c>
      <c r="W38" s="9">
        <f t="shared" si="5"/>
        <v>0</v>
      </c>
      <c r="X38" s="14">
        <f t="shared" si="6"/>
        <v>2</v>
      </c>
    </row>
    <row r="39" ht="17" customHeight="1" spans="1:24">
      <c r="A39" s="5">
        <f t="shared" si="0"/>
        <v>35</v>
      </c>
      <c r="B39" s="6" t="str">
        <f>IF(Config!$B$41="","",Config!$B$41)</f>
        <v>Tahsina Tarannum</v>
      </c>
      <c r="C39" s="7" t="str">
        <f>IF(Config!$B$41="","",Config!$C$41)</f>
        <v/>
      </c>
      <c r="D39" s="19">
        <f>IF($B39="","",IFERROR(Config!$F$7,0))</f>
        <v>10</v>
      </c>
      <c r="E39" s="10">
        <f>IF($B39="","",IF(Config!$E$7="",0,SUMIFS('Leave Records'!$I:$I,'Leave Records'!$B:$B,$B39,'Leave Records'!$D:$D,Config!$E$7,'Leave Records'!$K:$K,"Approved")))</f>
        <v>1</v>
      </c>
      <c r="F39" s="20">
        <f>IF($B39="","",IF(Config!$E$7="",0,SUMIFS('Leave Records'!$I:$I,'Leave Records'!$B:$B,$B39,'Leave Records'!$D:$D,Config!$E$7,'Leave Records'!$K:$K,"Pending")))</f>
        <v>0</v>
      </c>
      <c r="G39" s="8">
        <f t="shared" si="1"/>
        <v>9</v>
      </c>
      <c r="H39" s="19">
        <f>IF($B39="","",IFERROR(Config!$F$8,0))</f>
        <v>5</v>
      </c>
      <c r="I39" s="10">
        <f>IF($B39="","",IF(Config!$E$8="",0,SUMIFS('Leave Records'!$I:$I,'Leave Records'!$B:$B,$B39,'Leave Records'!$D:$D,Config!$E$8,'Leave Records'!$K:$K,"Approved")))</f>
        <v>1</v>
      </c>
      <c r="J39" s="20">
        <f>IF($B39="","",IF(Config!$E$8="",0,SUMIFS('Leave Records'!$I:$I,'Leave Records'!$B:$B,$B39,'Leave Records'!$D:$D,Config!$E$8,'Leave Records'!$K:$K,"Pending")))</f>
        <v>0</v>
      </c>
      <c r="K39" s="8">
        <f t="shared" si="2"/>
        <v>4</v>
      </c>
      <c r="L39" s="19">
        <f>IF($B39="","",IFERROR(Config!$F$9,0))</f>
        <v>0</v>
      </c>
      <c r="M39" s="10">
        <f>IF($B39="","",IF(Config!$E$9="",0,SUMIFS('Leave Records'!$I:$I,'Leave Records'!$B:$B,$B39,'Leave Records'!$D:$D,Config!$E$9,'Leave Records'!$K:$K,"Approved")))</f>
        <v>0</v>
      </c>
      <c r="N39" s="20">
        <f>IF($B39="","",IF(Config!$E$9="",0,SUMIFS('Leave Records'!$I:$I,'Leave Records'!$B:$B,$B39,'Leave Records'!$D:$D,Config!$E$9,'Leave Records'!$K:$K,"Pending")))</f>
        <v>0</v>
      </c>
      <c r="O39" s="8">
        <f t="shared" si="3"/>
        <v>0</v>
      </c>
      <c r="P39" s="19">
        <f>IF($B39="","",IFERROR(Config!$F$10,0))</f>
        <v>0</v>
      </c>
      <c r="Q39" s="10">
        <f>IF($B39="","",IF(Config!$E$10="",0,SUMIFS('Leave Records'!$I:$I,'Leave Records'!$B:$B,$B39,'Leave Records'!$D:$D,Config!$E$10,'Leave Records'!$K:$K,"Approved")))</f>
        <v>0</v>
      </c>
      <c r="R39" s="20">
        <f>IF($B39="","",IF(Config!$E$10="",0,SUMIFS('Leave Records'!$I:$I,'Leave Records'!$B:$B,$B39,'Leave Records'!$D:$D,Config!$E$10,'Leave Records'!$K:$K,"Pending")))</f>
        <v>0</v>
      </c>
      <c r="S39" s="8">
        <f t="shared" si="4"/>
        <v>0</v>
      </c>
      <c r="T39" s="19">
        <f>IF($B39="","",IFERROR(Config!$F$11,0))</f>
        <v>0</v>
      </c>
      <c r="U39" s="10">
        <f>IF($B39="","",IF(Config!$E$11="",0,SUMIFS('Leave Records'!$I:$I,'Leave Records'!$B:$B,$B39,'Leave Records'!$D:$D,Config!$E$11,'Leave Records'!$K:$K,"Approved")))</f>
        <v>0</v>
      </c>
      <c r="V39" s="20">
        <f>IF($B39="","",IF(Config!$E$11="",0,SUMIFS('Leave Records'!$I:$I,'Leave Records'!$B:$B,$B39,'Leave Records'!$D:$D,Config!$E$11,'Leave Records'!$K:$K,"Pending")))</f>
        <v>0</v>
      </c>
      <c r="W39" s="8">
        <f t="shared" si="5"/>
        <v>0</v>
      </c>
      <c r="X39" s="11">
        <f t="shared" si="6"/>
        <v>2</v>
      </c>
    </row>
    <row r="40" ht="17" customHeight="1" spans="1:24">
      <c r="A40" s="5">
        <f t="shared" si="0"/>
        <v>36</v>
      </c>
      <c r="B40" s="12" t="str">
        <f>IF(Config!$B$42="","",Config!$B$42)</f>
        <v>Mohammad Arafat Ul Alam</v>
      </c>
      <c r="C40" s="13" t="str">
        <f>IF(Config!$B$42="","",Config!$C$42)</f>
        <v/>
      </c>
      <c r="D40" s="19">
        <f>IF($B40="","",IFERROR(Config!$F$7,0))</f>
        <v>10</v>
      </c>
      <c r="E40" s="21">
        <f>IF($B40="","",IF(Config!$E$7="",0,SUMIFS('Leave Records'!$I:$I,'Leave Records'!$B:$B,$B40,'Leave Records'!$D:$D,Config!$E$7,'Leave Records'!$K:$K,"Approved")))</f>
        <v>3</v>
      </c>
      <c r="F40" s="22">
        <f>IF($B40="","",IF(Config!$E$7="",0,SUMIFS('Leave Records'!$I:$I,'Leave Records'!$B:$B,$B40,'Leave Records'!$D:$D,Config!$E$7,'Leave Records'!$K:$K,"Pending")))</f>
        <v>0</v>
      </c>
      <c r="G40" s="9">
        <f t="shared" si="1"/>
        <v>7</v>
      </c>
      <c r="H40" s="19">
        <f>IF($B40="","",IFERROR(Config!$F$8,0))</f>
        <v>5</v>
      </c>
      <c r="I40" s="21">
        <f>IF($B40="","",IF(Config!$E$8="",0,SUMIFS('Leave Records'!$I:$I,'Leave Records'!$B:$B,$B40,'Leave Records'!$D:$D,Config!$E$8,'Leave Records'!$K:$K,"Approved")))</f>
        <v>0</v>
      </c>
      <c r="J40" s="22">
        <f>IF($B40="","",IF(Config!$E$8="",0,SUMIFS('Leave Records'!$I:$I,'Leave Records'!$B:$B,$B40,'Leave Records'!$D:$D,Config!$E$8,'Leave Records'!$K:$K,"Pending")))</f>
        <v>0</v>
      </c>
      <c r="K40" s="9">
        <f t="shared" si="2"/>
        <v>5</v>
      </c>
      <c r="L40" s="19">
        <f>IF($B40="","",IFERROR(Config!$F$9,0))</f>
        <v>0</v>
      </c>
      <c r="M40" s="21">
        <f>IF($B40="","",IF(Config!$E$9="",0,SUMIFS('Leave Records'!$I:$I,'Leave Records'!$B:$B,$B40,'Leave Records'!$D:$D,Config!$E$9,'Leave Records'!$K:$K,"Approved")))</f>
        <v>0</v>
      </c>
      <c r="N40" s="22">
        <f>IF($B40="","",IF(Config!$E$9="",0,SUMIFS('Leave Records'!$I:$I,'Leave Records'!$B:$B,$B40,'Leave Records'!$D:$D,Config!$E$9,'Leave Records'!$K:$K,"Pending")))</f>
        <v>0</v>
      </c>
      <c r="O40" s="9">
        <f t="shared" si="3"/>
        <v>0</v>
      </c>
      <c r="P40" s="19">
        <f>IF($B40="","",IFERROR(Config!$F$10,0))</f>
        <v>0</v>
      </c>
      <c r="Q40" s="21">
        <f>IF($B40="","",IF(Config!$E$10="",0,SUMIFS('Leave Records'!$I:$I,'Leave Records'!$B:$B,$B40,'Leave Records'!$D:$D,Config!$E$10,'Leave Records'!$K:$K,"Approved")))</f>
        <v>0</v>
      </c>
      <c r="R40" s="22">
        <f>IF($B40="","",IF(Config!$E$10="",0,SUMIFS('Leave Records'!$I:$I,'Leave Records'!$B:$B,$B40,'Leave Records'!$D:$D,Config!$E$10,'Leave Records'!$K:$K,"Pending")))</f>
        <v>0</v>
      </c>
      <c r="S40" s="9">
        <f t="shared" si="4"/>
        <v>0</v>
      </c>
      <c r="T40" s="19">
        <f>IF($B40="","",IFERROR(Config!$F$11,0))</f>
        <v>0</v>
      </c>
      <c r="U40" s="21">
        <f>IF($B40="","",IF(Config!$E$11="",0,SUMIFS('Leave Records'!$I:$I,'Leave Records'!$B:$B,$B40,'Leave Records'!$D:$D,Config!$E$11,'Leave Records'!$K:$K,"Approved")))</f>
        <v>0</v>
      </c>
      <c r="V40" s="22">
        <f>IF($B40="","",IF(Config!$E$11="",0,SUMIFS('Leave Records'!$I:$I,'Leave Records'!$B:$B,$B40,'Leave Records'!$D:$D,Config!$E$11,'Leave Records'!$K:$K,"Pending")))</f>
        <v>0</v>
      </c>
      <c r="W40" s="9">
        <f t="shared" si="5"/>
        <v>0</v>
      </c>
      <c r="X40" s="14">
        <f t="shared" si="6"/>
        <v>3</v>
      </c>
    </row>
    <row r="41" ht="17" customHeight="1" spans="1:24">
      <c r="A41" s="5">
        <f t="shared" si="0"/>
        <v>37</v>
      </c>
      <c r="B41" s="6" t="str">
        <f>IF(Config!$B$43="","",Config!$B$43)</f>
        <v>Md Kawser Hussain Rasel</v>
      </c>
      <c r="C41" s="7" t="str">
        <f>IF(Config!$B$43="","",Config!$C$43)</f>
        <v/>
      </c>
      <c r="D41" s="19">
        <f>IF($B41="","",IFERROR(Config!$F$7,0))</f>
        <v>10</v>
      </c>
      <c r="E41" s="10">
        <f>IF($B41="","",IF(Config!$E$7="",0,SUMIFS('Leave Records'!$I:$I,'Leave Records'!$B:$B,$B41,'Leave Records'!$D:$D,Config!$E$7,'Leave Records'!$K:$K,"Approved")))</f>
        <v>0</v>
      </c>
      <c r="F41" s="20">
        <f>IF($B41="","",IF(Config!$E$7="",0,SUMIFS('Leave Records'!$I:$I,'Leave Records'!$B:$B,$B41,'Leave Records'!$D:$D,Config!$E$7,'Leave Records'!$K:$K,"Pending")))</f>
        <v>0</v>
      </c>
      <c r="G41" s="8">
        <f t="shared" si="1"/>
        <v>10</v>
      </c>
      <c r="H41" s="19">
        <f>IF($B41="","",IFERROR(Config!$F$8,0))</f>
        <v>5</v>
      </c>
      <c r="I41" s="10">
        <f>IF($B41="","",IF(Config!$E$8="",0,SUMIFS('Leave Records'!$I:$I,'Leave Records'!$B:$B,$B41,'Leave Records'!$D:$D,Config!$E$8,'Leave Records'!$K:$K,"Approved")))</f>
        <v>0</v>
      </c>
      <c r="J41" s="20">
        <f>IF($B41="","",IF(Config!$E$8="",0,SUMIFS('Leave Records'!$I:$I,'Leave Records'!$B:$B,$B41,'Leave Records'!$D:$D,Config!$E$8,'Leave Records'!$K:$K,"Pending")))</f>
        <v>0</v>
      </c>
      <c r="K41" s="8">
        <f t="shared" si="2"/>
        <v>5</v>
      </c>
      <c r="L41" s="19">
        <f>IF($B41="","",IFERROR(Config!$F$9,0))</f>
        <v>0</v>
      </c>
      <c r="M41" s="10">
        <f>IF($B41="","",IF(Config!$E$9="",0,SUMIFS('Leave Records'!$I:$I,'Leave Records'!$B:$B,$B41,'Leave Records'!$D:$D,Config!$E$9,'Leave Records'!$K:$K,"Approved")))</f>
        <v>0</v>
      </c>
      <c r="N41" s="20">
        <f>IF($B41="","",IF(Config!$E$9="",0,SUMIFS('Leave Records'!$I:$I,'Leave Records'!$B:$B,$B41,'Leave Records'!$D:$D,Config!$E$9,'Leave Records'!$K:$K,"Pending")))</f>
        <v>0</v>
      </c>
      <c r="O41" s="8">
        <f t="shared" si="3"/>
        <v>0</v>
      </c>
      <c r="P41" s="19">
        <f>IF($B41="","",IFERROR(Config!$F$10,0))</f>
        <v>0</v>
      </c>
      <c r="Q41" s="10">
        <f>IF($B41="","",IF(Config!$E$10="",0,SUMIFS('Leave Records'!$I:$I,'Leave Records'!$B:$B,$B41,'Leave Records'!$D:$D,Config!$E$10,'Leave Records'!$K:$K,"Approved")))</f>
        <v>0</v>
      </c>
      <c r="R41" s="20">
        <f>IF($B41="","",IF(Config!$E$10="",0,SUMIFS('Leave Records'!$I:$I,'Leave Records'!$B:$B,$B41,'Leave Records'!$D:$D,Config!$E$10,'Leave Records'!$K:$K,"Pending")))</f>
        <v>0</v>
      </c>
      <c r="S41" s="8">
        <f t="shared" si="4"/>
        <v>0</v>
      </c>
      <c r="T41" s="19">
        <f>IF($B41="","",IFERROR(Config!$F$11,0))</f>
        <v>0</v>
      </c>
      <c r="U41" s="10">
        <f>IF($B41="","",IF(Config!$E$11="",0,SUMIFS('Leave Records'!$I:$I,'Leave Records'!$B:$B,$B41,'Leave Records'!$D:$D,Config!$E$11,'Leave Records'!$K:$K,"Approved")))</f>
        <v>0</v>
      </c>
      <c r="V41" s="20">
        <f>IF($B41="","",IF(Config!$E$11="",0,SUMIFS('Leave Records'!$I:$I,'Leave Records'!$B:$B,$B41,'Leave Records'!$D:$D,Config!$E$11,'Leave Records'!$K:$K,"Pending")))</f>
        <v>0</v>
      </c>
      <c r="W41" s="8">
        <f t="shared" si="5"/>
        <v>0</v>
      </c>
      <c r="X41" s="11">
        <f t="shared" si="6"/>
        <v>0</v>
      </c>
    </row>
    <row r="42" ht="17" customHeight="1" spans="1:24">
      <c r="A42" s="5">
        <f t="shared" si="0"/>
        <v>38</v>
      </c>
      <c r="B42" s="12" t="str">
        <f>IF(Config!$B$44="","",Config!$B$44)</f>
        <v>Md. Mainuddin</v>
      </c>
      <c r="C42" s="13" t="str">
        <f>IF(Config!$B$44="","",Config!$C$44)</f>
        <v/>
      </c>
      <c r="D42" s="19">
        <f>IF($B42="","",IFERROR(Config!$F$7,0))</f>
        <v>10</v>
      </c>
      <c r="E42" s="21">
        <f>IF($B42="","",IF(Config!$E$7="",0,SUMIFS('Leave Records'!$I:$I,'Leave Records'!$B:$B,$B42,'Leave Records'!$D:$D,Config!$E$7,'Leave Records'!$K:$K,"Approved")))</f>
        <v>2</v>
      </c>
      <c r="F42" s="22">
        <f>IF($B42="","",IF(Config!$E$7="",0,SUMIFS('Leave Records'!$I:$I,'Leave Records'!$B:$B,$B42,'Leave Records'!$D:$D,Config!$E$7,'Leave Records'!$K:$K,"Pending")))</f>
        <v>0</v>
      </c>
      <c r="G42" s="9">
        <f t="shared" si="1"/>
        <v>8</v>
      </c>
      <c r="H42" s="19">
        <f>IF($B42="","",IFERROR(Config!$F$8,0))</f>
        <v>5</v>
      </c>
      <c r="I42" s="21">
        <f>IF($B42="","",IF(Config!$E$8="",0,SUMIFS('Leave Records'!$I:$I,'Leave Records'!$B:$B,$B42,'Leave Records'!$D:$D,Config!$E$8,'Leave Records'!$K:$K,"Approved")))</f>
        <v>0</v>
      </c>
      <c r="J42" s="22">
        <f>IF($B42="","",IF(Config!$E$8="",0,SUMIFS('Leave Records'!$I:$I,'Leave Records'!$B:$B,$B42,'Leave Records'!$D:$D,Config!$E$8,'Leave Records'!$K:$K,"Pending")))</f>
        <v>0</v>
      </c>
      <c r="K42" s="9">
        <f t="shared" si="2"/>
        <v>5</v>
      </c>
      <c r="L42" s="19">
        <f>IF($B42="","",IFERROR(Config!$F$9,0))</f>
        <v>0</v>
      </c>
      <c r="M42" s="21">
        <f>IF($B42="","",IF(Config!$E$9="",0,SUMIFS('Leave Records'!$I:$I,'Leave Records'!$B:$B,$B42,'Leave Records'!$D:$D,Config!$E$9,'Leave Records'!$K:$K,"Approved")))</f>
        <v>0</v>
      </c>
      <c r="N42" s="22">
        <f>IF($B42="","",IF(Config!$E$9="",0,SUMIFS('Leave Records'!$I:$I,'Leave Records'!$B:$B,$B42,'Leave Records'!$D:$D,Config!$E$9,'Leave Records'!$K:$K,"Pending")))</f>
        <v>0</v>
      </c>
      <c r="O42" s="9">
        <f t="shared" si="3"/>
        <v>0</v>
      </c>
      <c r="P42" s="19">
        <f>IF($B42="","",IFERROR(Config!$F$10,0))</f>
        <v>0</v>
      </c>
      <c r="Q42" s="21">
        <f>IF($B42="","",IF(Config!$E$10="",0,SUMIFS('Leave Records'!$I:$I,'Leave Records'!$B:$B,$B42,'Leave Records'!$D:$D,Config!$E$10,'Leave Records'!$K:$K,"Approved")))</f>
        <v>0</v>
      </c>
      <c r="R42" s="22">
        <f>IF($B42="","",IF(Config!$E$10="",0,SUMIFS('Leave Records'!$I:$I,'Leave Records'!$B:$B,$B42,'Leave Records'!$D:$D,Config!$E$10,'Leave Records'!$K:$K,"Pending")))</f>
        <v>0</v>
      </c>
      <c r="S42" s="9">
        <f t="shared" si="4"/>
        <v>0</v>
      </c>
      <c r="T42" s="19">
        <f>IF($B42="","",IFERROR(Config!$F$11,0))</f>
        <v>0</v>
      </c>
      <c r="U42" s="21">
        <f>IF($B42="","",IF(Config!$E$11="",0,SUMIFS('Leave Records'!$I:$I,'Leave Records'!$B:$B,$B42,'Leave Records'!$D:$D,Config!$E$11,'Leave Records'!$K:$K,"Approved")))</f>
        <v>0</v>
      </c>
      <c r="V42" s="22">
        <f>IF($B42="","",IF(Config!$E$11="",0,SUMIFS('Leave Records'!$I:$I,'Leave Records'!$B:$B,$B42,'Leave Records'!$D:$D,Config!$E$11,'Leave Records'!$K:$K,"Pending")))</f>
        <v>0</v>
      </c>
      <c r="W42" s="9">
        <f t="shared" si="5"/>
        <v>0</v>
      </c>
      <c r="X42" s="14">
        <f t="shared" si="6"/>
        <v>2</v>
      </c>
    </row>
    <row r="43" ht="17" customHeight="1" spans="1:24">
      <c r="A43" s="5">
        <f t="shared" si="0"/>
        <v>39</v>
      </c>
      <c r="B43" s="6" t="str">
        <f>IF(Config!$B$45="","",Config!$B$45)</f>
        <v>Sumaiya Nusrat Pushpo</v>
      </c>
      <c r="C43" s="7" t="str">
        <f>IF(Config!$B$45="","",Config!$C$45)</f>
        <v>Assistant Teacher</v>
      </c>
      <c r="D43" s="19">
        <f>IF($B43="","",IFERROR(Config!$F$7,0))</f>
        <v>10</v>
      </c>
      <c r="E43" s="10">
        <f>IF($B43="","",IF(Config!$E$7="",0,SUMIFS('Leave Records'!$I:$I,'Leave Records'!$B:$B,$B43,'Leave Records'!$D:$D,Config!$E$7,'Leave Records'!$K:$K,"Approved")))</f>
        <v>4</v>
      </c>
      <c r="F43" s="20">
        <f>IF($B43="","",IF(Config!$E$7="",0,SUMIFS('Leave Records'!$I:$I,'Leave Records'!$B:$B,$B43,'Leave Records'!$D:$D,Config!$E$7,'Leave Records'!$K:$K,"Pending")))</f>
        <v>0</v>
      </c>
      <c r="G43" s="8">
        <f t="shared" si="1"/>
        <v>6</v>
      </c>
      <c r="H43" s="19">
        <f>IF($B43="","",IFERROR(Config!$F$8,0))</f>
        <v>5</v>
      </c>
      <c r="I43" s="10">
        <f>IF($B43="","",IF(Config!$E$8="",0,SUMIFS('Leave Records'!$I:$I,'Leave Records'!$B:$B,$B43,'Leave Records'!$D:$D,Config!$E$8,'Leave Records'!$K:$K,"Approved")))</f>
        <v>0</v>
      </c>
      <c r="J43" s="20">
        <f>IF($B43="","",IF(Config!$E$8="",0,SUMIFS('Leave Records'!$I:$I,'Leave Records'!$B:$B,$B43,'Leave Records'!$D:$D,Config!$E$8,'Leave Records'!$K:$K,"Pending")))</f>
        <v>0</v>
      </c>
      <c r="K43" s="8">
        <f t="shared" si="2"/>
        <v>5</v>
      </c>
      <c r="L43" s="19">
        <f>IF($B43="","",IFERROR(Config!$F$9,0))</f>
        <v>0</v>
      </c>
      <c r="M43" s="10">
        <f>IF($B43="","",IF(Config!$E$9="",0,SUMIFS('Leave Records'!$I:$I,'Leave Records'!$B:$B,$B43,'Leave Records'!$D:$D,Config!$E$9,'Leave Records'!$K:$K,"Approved")))</f>
        <v>0</v>
      </c>
      <c r="N43" s="20">
        <f>IF($B43="","",IF(Config!$E$9="",0,SUMIFS('Leave Records'!$I:$I,'Leave Records'!$B:$B,$B43,'Leave Records'!$D:$D,Config!$E$9,'Leave Records'!$K:$K,"Pending")))</f>
        <v>0</v>
      </c>
      <c r="O43" s="8">
        <f t="shared" si="3"/>
        <v>0</v>
      </c>
      <c r="P43" s="19">
        <f>IF($B43="","",IFERROR(Config!$F$10,0))</f>
        <v>0</v>
      </c>
      <c r="Q43" s="10">
        <f>IF($B43="","",IF(Config!$E$10="",0,SUMIFS('Leave Records'!$I:$I,'Leave Records'!$B:$B,$B43,'Leave Records'!$D:$D,Config!$E$10,'Leave Records'!$K:$K,"Approved")))</f>
        <v>0</v>
      </c>
      <c r="R43" s="20">
        <f>IF($B43="","",IF(Config!$E$10="",0,SUMIFS('Leave Records'!$I:$I,'Leave Records'!$B:$B,$B43,'Leave Records'!$D:$D,Config!$E$10,'Leave Records'!$K:$K,"Pending")))</f>
        <v>0</v>
      </c>
      <c r="S43" s="8">
        <f t="shared" si="4"/>
        <v>0</v>
      </c>
      <c r="T43" s="19">
        <f>IF($B43="","",IFERROR(Config!$F$11,0))</f>
        <v>0</v>
      </c>
      <c r="U43" s="10">
        <f>IF($B43="","",IF(Config!$E$11="",0,SUMIFS('Leave Records'!$I:$I,'Leave Records'!$B:$B,$B43,'Leave Records'!$D:$D,Config!$E$11,'Leave Records'!$K:$K,"Approved")))</f>
        <v>0</v>
      </c>
      <c r="V43" s="20">
        <f>IF($B43="","",IF(Config!$E$11="",0,SUMIFS('Leave Records'!$I:$I,'Leave Records'!$B:$B,$B43,'Leave Records'!$D:$D,Config!$E$11,'Leave Records'!$K:$K,"Pending")))</f>
        <v>0</v>
      </c>
      <c r="W43" s="8">
        <f t="shared" si="5"/>
        <v>0</v>
      </c>
      <c r="X43" s="11">
        <f t="shared" si="6"/>
        <v>4</v>
      </c>
    </row>
    <row r="44" ht="17" customHeight="1" spans="1:24">
      <c r="A44" s="5">
        <f t="shared" si="0"/>
        <v>40</v>
      </c>
      <c r="B44" s="12" t="str">
        <f>IF(Config!$B$46="","",Config!$B$46)</f>
        <v>Ismat Tasnia</v>
      </c>
      <c r="C44" s="13" t="str">
        <f>IF(Config!$B$46="","",Config!$C$46)</f>
        <v>Assistant Teacher</v>
      </c>
      <c r="D44" s="19">
        <f>IF($B44="","",IFERROR(Config!$F$7,0))</f>
        <v>10</v>
      </c>
      <c r="E44" s="21">
        <f>IF($B44="","",IF(Config!$E$7="",0,SUMIFS('Leave Records'!$I:$I,'Leave Records'!$B:$B,$B44,'Leave Records'!$D:$D,Config!$E$7,'Leave Records'!$K:$K,"Approved")))</f>
        <v>0</v>
      </c>
      <c r="F44" s="22">
        <f>IF($B44="","",IF(Config!$E$7="",0,SUMIFS('Leave Records'!$I:$I,'Leave Records'!$B:$B,$B44,'Leave Records'!$D:$D,Config!$E$7,'Leave Records'!$K:$K,"Pending")))</f>
        <v>0</v>
      </c>
      <c r="G44" s="9">
        <f t="shared" si="1"/>
        <v>10</v>
      </c>
      <c r="H44" s="19">
        <f>IF($B44="","",IFERROR(Config!$F$8,0))</f>
        <v>5</v>
      </c>
      <c r="I44" s="21">
        <f>IF($B44="","",IF(Config!$E$8="",0,SUMIFS('Leave Records'!$I:$I,'Leave Records'!$B:$B,$B44,'Leave Records'!$D:$D,Config!$E$8,'Leave Records'!$K:$K,"Approved")))</f>
        <v>1</v>
      </c>
      <c r="J44" s="22">
        <f>IF($B44="","",IF(Config!$E$8="",0,SUMIFS('Leave Records'!$I:$I,'Leave Records'!$B:$B,$B44,'Leave Records'!$D:$D,Config!$E$8,'Leave Records'!$K:$K,"Pending")))</f>
        <v>0</v>
      </c>
      <c r="K44" s="9">
        <f t="shared" si="2"/>
        <v>4</v>
      </c>
      <c r="L44" s="19">
        <f>IF($B44="","",IFERROR(Config!$F$9,0))</f>
        <v>0</v>
      </c>
      <c r="M44" s="21">
        <f>IF($B44="","",IF(Config!$E$9="",0,SUMIFS('Leave Records'!$I:$I,'Leave Records'!$B:$B,$B44,'Leave Records'!$D:$D,Config!$E$9,'Leave Records'!$K:$K,"Approved")))</f>
        <v>0</v>
      </c>
      <c r="N44" s="22">
        <f>IF($B44="","",IF(Config!$E$9="",0,SUMIFS('Leave Records'!$I:$I,'Leave Records'!$B:$B,$B44,'Leave Records'!$D:$D,Config!$E$9,'Leave Records'!$K:$K,"Pending")))</f>
        <v>0</v>
      </c>
      <c r="O44" s="9">
        <f t="shared" si="3"/>
        <v>0</v>
      </c>
      <c r="P44" s="19">
        <f>IF($B44="","",IFERROR(Config!$F$10,0))</f>
        <v>0</v>
      </c>
      <c r="Q44" s="21">
        <f>IF($B44="","",IF(Config!$E$10="",0,SUMIFS('Leave Records'!$I:$I,'Leave Records'!$B:$B,$B44,'Leave Records'!$D:$D,Config!$E$10,'Leave Records'!$K:$K,"Approved")))</f>
        <v>0</v>
      </c>
      <c r="R44" s="22">
        <f>IF($B44="","",IF(Config!$E$10="",0,SUMIFS('Leave Records'!$I:$I,'Leave Records'!$B:$B,$B44,'Leave Records'!$D:$D,Config!$E$10,'Leave Records'!$K:$K,"Pending")))</f>
        <v>0</v>
      </c>
      <c r="S44" s="9">
        <f t="shared" si="4"/>
        <v>0</v>
      </c>
      <c r="T44" s="19">
        <f>IF($B44="","",IFERROR(Config!$F$11,0))</f>
        <v>0</v>
      </c>
      <c r="U44" s="21">
        <f>IF($B44="","",IF(Config!$E$11="",0,SUMIFS('Leave Records'!$I:$I,'Leave Records'!$B:$B,$B44,'Leave Records'!$D:$D,Config!$E$11,'Leave Records'!$K:$K,"Approved")))</f>
        <v>0</v>
      </c>
      <c r="V44" s="22">
        <f>IF($B44="","",IF(Config!$E$11="",0,SUMIFS('Leave Records'!$I:$I,'Leave Records'!$B:$B,$B44,'Leave Records'!$D:$D,Config!$E$11,'Leave Records'!$K:$K,"Pending")))</f>
        <v>0</v>
      </c>
      <c r="W44" s="9">
        <f t="shared" si="5"/>
        <v>0</v>
      </c>
      <c r="X44" s="14">
        <f t="shared" si="6"/>
        <v>1</v>
      </c>
    </row>
    <row r="45" ht="17" customHeight="1" spans="1:24">
      <c r="A45" s="5">
        <f t="shared" si="0"/>
        <v>41</v>
      </c>
      <c r="B45" s="6" t="str">
        <f>IF(Config!$B$47="","",Config!$B$47)</f>
        <v>Ayesha Siddika Ruba</v>
      </c>
      <c r="C45" s="7" t="str">
        <f>IF(Config!$B$47="","",Config!$C$47)</f>
        <v>Subject Teacher</v>
      </c>
      <c r="D45" s="19">
        <f>IF($B45="","",IFERROR(Config!$F$7,0))</f>
        <v>10</v>
      </c>
      <c r="E45" s="10">
        <f>IF($B45="","",IF(Config!$E$7="",0,SUMIFS('Leave Records'!$I:$I,'Leave Records'!$B:$B,$B45,'Leave Records'!$D:$D,Config!$E$7,'Leave Records'!$K:$K,"Approved")))</f>
        <v>3</v>
      </c>
      <c r="F45" s="20">
        <f>IF($B45="","",IF(Config!$E$7="",0,SUMIFS('Leave Records'!$I:$I,'Leave Records'!$B:$B,$B45,'Leave Records'!$D:$D,Config!$E$7,'Leave Records'!$K:$K,"Pending")))</f>
        <v>0</v>
      </c>
      <c r="G45" s="8">
        <f t="shared" si="1"/>
        <v>7</v>
      </c>
      <c r="H45" s="19">
        <f>IF($B45="","",IFERROR(Config!$F$8,0))</f>
        <v>5</v>
      </c>
      <c r="I45" s="10">
        <f>IF($B45="","",IF(Config!$E$8="",0,SUMIFS('Leave Records'!$I:$I,'Leave Records'!$B:$B,$B45,'Leave Records'!$D:$D,Config!$E$8,'Leave Records'!$K:$K,"Approved")))</f>
        <v>1</v>
      </c>
      <c r="J45" s="20">
        <f>IF($B45="","",IF(Config!$E$8="",0,SUMIFS('Leave Records'!$I:$I,'Leave Records'!$B:$B,$B45,'Leave Records'!$D:$D,Config!$E$8,'Leave Records'!$K:$K,"Pending")))</f>
        <v>0</v>
      </c>
      <c r="K45" s="8">
        <f t="shared" si="2"/>
        <v>4</v>
      </c>
      <c r="L45" s="19">
        <f>IF($B45="","",IFERROR(Config!$F$9,0))</f>
        <v>0</v>
      </c>
      <c r="M45" s="10">
        <f>IF($B45="","",IF(Config!$E$9="",0,SUMIFS('Leave Records'!$I:$I,'Leave Records'!$B:$B,$B45,'Leave Records'!$D:$D,Config!$E$9,'Leave Records'!$K:$K,"Approved")))</f>
        <v>0</v>
      </c>
      <c r="N45" s="20">
        <f>IF($B45="","",IF(Config!$E$9="",0,SUMIFS('Leave Records'!$I:$I,'Leave Records'!$B:$B,$B45,'Leave Records'!$D:$D,Config!$E$9,'Leave Records'!$K:$K,"Pending")))</f>
        <v>0</v>
      </c>
      <c r="O45" s="8">
        <f t="shared" si="3"/>
        <v>0</v>
      </c>
      <c r="P45" s="19">
        <f>IF($B45="","",IFERROR(Config!$F$10,0))</f>
        <v>0</v>
      </c>
      <c r="Q45" s="10">
        <f>IF($B45="","",IF(Config!$E$10="",0,SUMIFS('Leave Records'!$I:$I,'Leave Records'!$B:$B,$B45,'Leave Records'!$D:$D,Config!$E$10,'Leave Records'!$K:$K,"Approved")))</f>
        <v>0</v>
      </c>
      <c r="R45" s="20">
        <f>IF($B45="","",IF(Config!$E$10="",0,SUMIFS('Leave Records'!$I:$I,'Leave Records'!$B:$B,$B45,'Leave Records'!$D:$D,Config!$E$10,'Leave Records'!$K:$K,"Pending")))</f>
        <v>0</v>
      </c>
      <c r="S45" s="8">
        <f t="shared" si="4"/>
        <v>0</v>
      </c>
      <c r="T45" s="19">
        <f>IF($B45="","",IFERROR(Config!$F$11,0))</f>
        <v>0</v>
      </c>
      <c r="U45" s="10">
        <f>IF($B45="","",IF(Config!$E$11="",0,SUMIFS('Leave Records'!$I:$I,'Leave Records'!$B:$B,$B45,'Leave Records'!$D:$D,Config!$E$11,'Leave Records'!$K:$K,"Approved")))</f>
        <v>0</v>
      </c>
      <c r="V45" s="20">
        <f>IF($B45="","",IF(Config!$E$11="",0,SUMIFS('Leave Records'!$I:$I,'Leave Records'!$B:$B,$B45,'Leave Records'!$D:$D,Config!$E$11,'Leave Records'!$K:$K,"Pending")))</f>
        <v>0</v>
      </c>
      <c r="W45" s="8">
        <f t="shared" si="5"/>
        <v>0</v>
      </c>
      <c r="X45" s="11">
        <f t="shared" si="6"/>
        <v>4</v>
      </c>
    </row>
    <row r="46" ht="17" customHeight="1" spans="1:24">
      <c r="A46" s="5">
        <f t="shared" si="0"/>
        <v>42</v>
      </c>
      <c r="B46" s="12" t="str">
        <f>IF(Config!$B$48="","",Config!$B$48)</f>
        <v>Jannatur Rahman</v>
      </c>
      <c r="C46" s="13" t="str">
        <f>IF(Config!$B$48="","",Config!$C$48)</f>
        <v/>
      </c>
      <c r="D46" s="19">
        <f>IF($B46="","",IFERROR(Config!$F$7,0))</f>
        <v>10</v>
      </c>
      <c r="E46" s="21">
        <f>IF($B46="","",IF(Config!$E$7="",0,SUMIFS('Leave Records'!$I:$I,'Leave Records'!$B:$B,$B46,'Leave Records'!$D:$D,Config!$E$7,'Leave Records'!$K:$K,"Approved")))</f>
        <v>1</v>
      </c>
      <c r="F46" s="22">
        <f>IF($B46="","",IF(Config!$E$7="",0,SUMIFS('Leave Records'!$I:$I,'Leave Records'!$B:$B,$B46,'Leave Records'!$D:$D,Config!$E$7,'Leave Records'!$K:$K,"Pending")))</f>
        <v>0</v>
      </c>
      <c r="G46" s="9">
        <f t="shared" si="1"/>
        <v>9</v>
      </c>
      <c r="H46" s="19">
        <f>IF($B46="","",IFERROR(Config!$F$8,0))</f>
        <v>5</v>
      </c>
      <c r="I46" s="21">
        <f>IF($B46="","",IF(Config!$E$8="",0,SUMIFS('Leave Records'!$I:$I,'Leave Records'!$B:$B,$B46,'Leave Records'!$D:$D,Config!$E$8,'Leave Records'!$K:$K,"Approved")))</f>
        <v>0</v>
      </c>
      <c r="J46" s="22">
        <f>IF($B46="","",IF(Config!$E$8="",0,SUMIFS('Leave Records'!$I:$I,'Leave Records'!$B:$B,$B46,'Leave Records'!$D:$D,Config!$E$8,'Leave Records'!$K:$K,"Pending")))</f>
        <v>0</v>
      </c>
      <c r="K46" s="9">
        <f t="shared" si="2"/>
        <v>5</v>
      </c>
      <c r="L46" s="19">
        <f>IF($B46="","",IFERROR(Config!$F$9,0))</f>
        <v>0</v>
      </c>
      <c r="M46" s="21">
        <f>IF($B46="","",IF(Config!$E$9="",0,SUMIFS('Leave Records'!$I:$I,'Leave Records'!$B:$B,$B46,'Leave Records'!$D:$D,Config!$E$9,'Leave Records'!$K:$K,"Approved")))</f>
        <v>0</v>
      </c>
      <c r="N46" s="22">
        <f>IF($B46="","",IF(Config!$E$9="",0,SUMIFS('Leave Records'!$I:$I,'Leave Records'!$B:$B,$B46,'Leave Records'!$D:$D,Config!$E$9,'Leave Records'!$K:$K,"Pending")))</f>
        <v>0</v>
      </c>
      <c r="O46" s="9">
        <f t="shared" si="3"/>
        <v>0</v>
      </c>
      <c r="P46" s="19">
        <f>IF($B46="","",IFERROR(Config!$F$10,0))</f>
        <v>0</v>
      </c>
      <c r="Q46" s="21">
        <f>IF($B46="","",IF(Config!$E$10="",0,SUMIFS('Leave Records'!$I:$I,'Leave Records'!$B:$B,$B46,'Leave Records'!$D:$D,Config!$E$10,'Leave Records'!$K:$K,"Approved")))</f>
        <v>0</v>
      </c>
      <c r="R46" s="22">
        <f>IF($B46="","",IF(Config!$E$10="",0,SUMIFS('Leave Records'!$I:$I,'Leave Records'!$B:$B,$B46,'Leave Records'!$D:$D,Config!$E$10,'Leave Records'!$K:$K,"Pending")))</f>
        <v>0</v>
      </c>
      <c r="S46" s="9">
        <f t="shared" si="4"/>
        <v>0</v>
      </c>
      <c r="T46" s="19">
        <f>IF($B46="","",IFERROR(Config!$F$11,0))</f>
        <v>0</v>
      </c>
      <c r="U46" s="21">
        <f>IF($B46="","",IF(Config!$E$11="",0,SUMIFS('Leave Records'!$I:$I,'Leave Records'!$B:$B,$B46,'Leave Records'!$D:$D,Config!$E$11,'Leave Records'!$K:$K,"Approved")))</f>
        <v>0</v>
      </c>
      <c r="V46" s="22">
        <f>IF($B46="","",IF(Config!$E$11="",0,SUMIFS('Leave Records'!$I:$I,'Leave Records'!$B:$B,$B46,'Leave Records'!$D:$D,Config!$E$11,'Leave Records'!$K:$K,"Pending")))</f>
        <v>0</v>
      </c>
      <c r="W46" s="9">
        <f t="shared" si="5"/>
        <v>0</v>
      </c>
      <c r="X46" s="14">
        <f t="shared" si="6"/>
        <v>1</v>
      </c>
    </row>
    <row r="47" ht="17" customHeight="1" spans="1:24">
      <c r="A47" s="5">
        <f t="shared" si="0"/>
        <v>43</v>
      </c>
      <c r="B47" s="6" t="str">
        <f>IF(Config!$B$49="","",Config!$B$49)</f>
        <v>Sultana Yasmin Geeti</v>
      </c>
      <c r="C47" s="7" t="str">
        <f>IF(Config!$B$49="","",Config!$C$49)</f>
        <v/>
      </c>
      <c r="D47" s="19">
        <f>IF($B47="","",IFERROR(Config!$F$7,0))</f>
        <v>10</v>
      </c>
      <c r="E47" s="10">
        <f>IF($B47="","",IF(Config!$E$7="",0,SUMIFS('Leave Records'!$I:$I,'Leave Records'!$B:$B,$B47,'Leave Records'!$D:$D,Config!$E$7,'Leave Records'!$K:$K,"Approved")))</f>
        <v>1</v>
      </c>
      <c r="F47" s="20">
        <f>IF($B47="","",IF(Config!$E$7="",0,SUMIFS('Leave Records'!$I:$I,'Leave Records'!$B:$B,$B47,'Leave Records'!$D:$D,Config!$E$7,'Leave Records'!$K:$K,"Pending")))</f>
        <v>0</v>
      </c>
      <c r="G47" s="8">
        <f t="shared" si="1"/>
        <v>9</v>
      </c>
      <c r="H47" s="19">
        <f>IF($B47="","",IFERROR(Config!$F$8,0))</f>
        <v>5</v>
      </c>
      <c r="I47" s="10">
        <f>IF($B47="","",IF(Config!$E$8="",0,SUMIFS('Leave Records'!$I:$I,'Leave Records'!$B:$B,$B47,'Leave Records'!$D:$D,Config!$E$8,'Leave Records'!$K:$K,"Approved")))</f>
        <v>0</v>
      </c>
      <c r="J47" s="20">
        <f>IF($B47="","",IF(Config!$E$8="",0,SUMIFS('Leave Records'!$I:$I,'Leave Records'!$B:$B,$B47,'Leave Records'!$D:$D,Config!$E$8,'Leave Records'!$K:$K,"Pending")))</f>
        <v>0</v>
      </c>
      <c r="K47" s="8">
        <f t="shared" si="2"/>
        <v>5</v>
      </c>
      <c r="L47" s="19">
        <f>IF($B47="","",IFERROR(Config!$F$9,0))</f>
        <v>0</v>
      </c>
      <c r="M47" s="10">
        <f>IF($B47="","",IF(Config!$E$9="",0,SUMIFS('Leave Records'!$I:$I,'Leave Records'!$B:$B,$B47,'Leave Records'!$D:$D,Config!$E$9,'Leave Records'!$K:$K,"Approved")))</f>
        <v>0</v>
      </c>
      <c r="N47" s="20">
        <f>IF($B47="","",IF(Config!$E$9="",0,SUMIFS('Leave Records'!$I:$I,'Leave Records'!$B:$B,$B47,'Leave Records'!$D:$D,Config!$E$9,'Leave Records'!$K:$K,"Pending")))</f>
        <v>0</v>
      </c>
      <c r="O47" s="8">
        <f t="shared" si="3"/>
        <v>0</v>
      </c>
      <c r="P47" s="19">
        <f>IF($B47="","",IFERROR(Config!$F$10,0))</f>
        <v>0</v>
      </c>
      <c r="Q47" s="10">
        <f>IF($B47="","",IF(Config!$E$10="",0,SUMIFS('Leave Records'!$I:$I,'Leave Records'!$B:$B,$B47,'Leave Records'!$D:$D,Config!$E$10,'Leave Records'!$K:$K,"Approved")))</f>
        <v>0</v>
      </c>
      <c r="R47" s="20">
        <f>IF($B47="","",IF(Config!$E$10="",0,SUMIFS('Leave Records'!$I:$I,'Leave Records'!$B:$B,$B47,'Leave Records'!$D:$D,Config!$E$10,'Leave Records'!$K:$K,"Pending")))</f>
        <v>0</v>
      </c>
      <c r="S47" s="8">
        <f t="shared" si="4"/>
        <v>0</v>
      </c>
      <c r="T47" s="19">
        <f>IF($B47="","",IFERROR(Config!$F$11,0))</f>
        <v>0</v>
      </c>
      <c r="U47" s="10">
        <f>IF($B47="","",IF(Config!$E$11="",0,SUMIFS('Leave Records'!$I:$I,'Leave Records'!$B:$B,$B47,'Leave Records'!$D:$D,Config!$E$11,'Leave Records'!$K:$K,"Approved")))</f>
        <v>0</v>
      </c>
      <c r="V47" s="20">
        <f>IF($B47="","",IF(Config!$E$11="",0,SUMIFS('Leave Records'!$I:$I,'Leave Records'!$B:$B,$B47,'Leave Records'!$D:$D,Config!$E$11,'Leave Records'!$K:$K,"Pending")))</f>
        <v>0</v>
      </c>
      <c r="W47" s="8">
        <f t="shared" si="5"/>
        <v>0</v>
      </c>
      <c r="X47" s="11">
        <f t="shared" si="6"/>
        <v>1</v>
      </c>
    </row>
    <row r="48" ht="17" customHeight="1" spans="1:24">
      <c r="A48" s="5">
        <f t="shared" si="0"/>
        <v>44</v>
      </c>
      <c r="B48" s="12" t="str">
        <f>IF(Config!$B$50="","",Config!$B$50)</f>
        <v>Shaila Parvin</v>
      </c>
      <c r="C48" s="13" t="str">
        <f>IF(Config!$B$50="","",Config!$C$50)</f>
        <v/>
      </c>
      <c r="D48" s="19">
        <f>IF($B48="","",IFERROR(Config!$F$7,0))</f>
        <v>10</v>
      </c>
      <c r="E48" s="21">
        <f>IF($B48="","",IF(Config!$E$7="",0,SUMIFS('Leave Records'!$I:$I,'Leave Records'!$B:$B,$B48,'Leave Records'!$D:$D,Config!$E$7,'Leave Records'!$K:$K,"Approved")))</f>
        <v>1</v>
      </c>
      <c r="F48" s="22">
        <f>IF($B48="","",IF(Config!$E$7="",0,SUMIFS('Leave Records'!$I:$I,'Leave Records'!$B:$B,$B48,'Leave Records'!$D:$D,Config!$E$7,'Leave Records'!$K:$K,"Pending")))</f>
        <v>0</v>
      </c>
      <c r="G48" s="9">
        <f t="shared" si="1"/>
        <v>9</v>
      </c>
      <c r="H48" s="19">
        <f>IF($B48="","",IFERROR(Config!$F$8,0))</f>
        <v>5</v>
      </c>
      <c r="I48" s="21">
        <f>IF($B48="","",IF(Config!$E$8="",0,SUMIFS('Leave Records'!$I:$I,'Leave Records'!$B:$B,$B48,'Leave Records'!$D:$D,Config!$E$8,'Leave Records'!$K:$K,"Approved")))</f>
        <v>0</v>
      </c>
      <c r="J48" s="22">
        <f>IF($B48="","",IF(Config!$E$8="",0,SUMIFS('Leave Records'!$I:$I,'Leave Records'!$B:$B,$B48,'Leave Records'!$D:$D,Config!$E$8,'Leave Records'!$K:$K,"Pending")))</f>
        <v>0</v>
      </c>
      <c r="K48" s="9">
        <f t="shared" si="2"/>
        <v>5</v>
      </c>
      <c r="L48" s="19">
        <f>IF($B48="","",IFERROR(Config!$F$9,0))</f>
        <v>0</v>
      </c>
      <c r="M48" s="21">
        <f>IF($B48="","",IF(Config!$E$9="",0,SUMIFS('Leave Records'!$I:$I,'Leave Records'!$B:$B,$B48,'Leave Records'!$D:$D,Config!$E$9,'Leave Records'!$K:$K,"Approved")))</f>
        <v>0</v>
      </c>
      <c r="N48" s="22">
        <f>IF($B48="","",IF(Config!$E$9="",0,SUMIFS('Leave Records'!$I:$I,'Leave Records'!$B:$B,$B48,'Leave Records'!$D:$D,Config!$E$9,'Leave Records'!$K:$K,"Pending")))</f>
        <v>0</v>
      </c>
      <c r="O48" s="9">
        <f t="shared" si="3"/>
        <v>0</v>
      </c>
      <c r="P48" s="19">
        <f>IF($B48="","",IFERROR(Config!$F$10,0))</f>
        <v>0</v>
      </c>
      <c r="Q48" s="21">
        <f>IF($B48="","",IF(Config!$E$10="",0,SUMIFS('Leave Records'!$I:$I,'Leave Records'!$B:$B,$B48,'Leave Records'!$D:$D,Config!$E$10,'Leave Records'!$K:$K,"Approved")))</f>
        <v>0</v>
      </c>
      <c r="R48" s="22">
        <f>IF($B48="","",IF(Config!$E$10="",0,SUMIFS('Leave Records'!$I:$I,'Leave Records'!$B:$B,$B48,'Leave Records'!$D:$D,Config!$E$10,'Leave Records'!$K:$K,"Pending")))</f>
        <v>0</v>
      </c>
      <c r="S48" s="9">
        <f t="shared" si="4"/>
        <v>0</v>
      </c>
      <c r="T48" s="19">
        <f>IF($B48="","",IFERROR(Config!$F$11,0))</f>
        <v>0</v>
      </c>
      <c r="U48" s="21">
        <f>IF($B48="","",IF(Config!$E$11="",0,SUMIFS('Leave Records'!$I:$I,'Leave Records'!$B:$B,$B48,'Leave Records'!$D:$D,Config!$E$11,'Leave Records'!$K:$K,"Approved")))</f>
        <v>0</v>
      </c>
      <c r="V48" s="22">
        <f>IF($B48="","",IF(Config!$E$11="",0,SUMIFS('Leave Records'!$I:$I,'Leave Records'!$B:$B,$B48,'Leave Records'!$D:$D,Config!$E$11,'Leave Records'!$K:$K,"Pending")))</f>
        <v>0</v>
      </c>
      <c r="W48" s="9">
        <f t="shared" si="5"/>
        <v>0</v>
      </c>
      <c r="X48" s="14">
        <f t="shared" si="6"/>
        <v>1</v>
      </c>
    </row>
    <row r="49" ht="17" customHeight="1" spans="1:24">
      <c r="A49" s="5">
        <f t="shared" si="0"/>
        <v>45</v>
      </c>
      <c r="B49" s="6" t="str">
        <f>IF(Config!$B$51="","",Config!$B$51)</f>
        <v>Ashik Bhuiyan</v>
      </c>
      <c r="C49" s="7" t="str">
        <f>IF(Config!$B$51="","",Config!$C$51)</f>
        <v/>
      </c>
      <c r="D49" s="19">
        <f>IF($B49="","",IFERROR(Config!$F$7,0))</f>
        <v>10</v>
      </c>
      <c r="E49" s="10">
        <f>IF($B49="","",IF(Config!$E$7="",0,SUMIFS('Leave Records'!$I:$I,'Leave Records'!$B:$B,$B49,'Leave Records'!$D:$D,Config!$E$7,'Leave Records'!$K:$K,"Approved")))</f>
        <v>0</v>
      </c>
      <c r="F49" s="20">
        <f>IF($B49="","",IF(Config!$E$7="",0,SUMIFS('Leave Records'!$I:$I,'Leave Records'!$B:$B,$B49,'Leave Records'!$D:$D,Config!$E$7,'Leave Records'!$K:$K,"Pending")))</f>
        <v>0</v>
      </c>
      <c r="G49" s="8">
        <f t="shared" si="1"/>
        <v>10</v>
      </c>
      <c r="H49" s="19">
        <f>IF($B49="","",IFERROR(Config!$F$8,0))</f>
        <v>5</v>
      </c>
      <c r="I49" s="10">
        <f>IF($B49="","",IF(Config!$E$8="",0,SUMIFS('Leave Records'!$I:$I,'Leave Records'!$B:$B,$B49,'Leave Records'!$D:$D,Config!$E$8,'Leave Records'!$K:$K,"Approved")))</f>
        <v>0</v>
      </c>
      <c r="J49" s="20">
        <f>IF($B49="","",IF(Config!$E$8="",0,SUMIFS('Leave Records'!$I:$I,'Leave Records'!$B:$B,$B49,'Leave Records'!$D:$D,Config!$E$8,'Leave Records'!$K:$K,"Pending")))</f>
        <v>0</v>
      </c>
      <c r="K49" s="8">
        <f t="shared" si="2"/>
        <v>5</v>
      </c>
      <c r="L49" s="19">
        <f>IF($B49="","",IFERROR(Config!$F$9,0))</f>
        <v>0</v>
      </c>
      <c r="M49" s="10">
        <f>IF($B49="","",IF(Config!$E$9="",0,SUMIFS('Leave Records'!$I:$I,'Leave Records'!$B:$B,$B49,'Leave Records'!$D:$D,Config!$E$9,'Leave Records'!$K:$K,"Approved")))</f>
        <v>0</v>
      </c>
      <c r="N49" s="20">
        <f>IF($B49="","",IF(Config!$E$9="",0,SUMIFS('Leave Records'!$I:$I,'Leave Records'!$B:$B,$B49,'Leave Records'!$D:$D,Config!$E$9,'Leave Records'!$K:$K,"Pending")))</f>
        <v>0</v>
      </c>
      <c r="O49" s="8">
        <f t="shared" si="3"/>
        <v>0</v>
      </c>
      <c r="P49" s="19">
        <f>IF($B49="","",IFERROR(Config!$F$10,0))</f>
        <v>0</v>
      </c>
      <c r="Q49" s="10">
        <f>IF($B49="","",IF(Config!$E$10="",0,SUMIFS('Leave Records'!$I:$I,'Leave Records'!$B:$B,$B49,'Leave Records'!$D:$D,Config!$E$10,'Leave Records'!$K:$K,"Approved")))</f>
        <v>0</v>
      </c>
      <c r="R49" s="20">
        <f>IF($B49="","",IF(Config!$E$10="",0,SUMIFS('Leave Records'!$I:$I,'Leave Records'!$B:$B,$B49,'Leave Records'!$D:$D,Config!$E$10,'Leave Records'!$K:$K,"Pending")))</f>
        <v>0</v>
      </c>
      <c r="S49" s="8">
        <f t="shared" si="4"/>
        <v>0</v>
      </c>
      <c r="T49" s="19">
        <f>IF($B49="","",IFERROR(Config!$F$11,0))</f>
        <v>0</v>
      </c>
      <c r="U49" s="10">
        <f>IF($B49="","",IF(Config!$E$11="",0,SUMIFS('Leave Records'!$I:$I,'Leave Records'!$B:$B,$B49,'Leave Records'!$D:$D,Config!$E$11,'Leave Records'!$K:$K,"Approved")))</f>
        <v>0</v>
      </c>
      <c r="V49" s="20">
        <f>IF($B49="","",IF(Config!$E$11="",0,SUMIFS('Leave Records'!$I:$I,'Leave Records'!$B:$B,$B49,'Leave Records'!$D:$D,Config!$E$11,'Leave Records'!$K:$K,"Pending")))</f>
        <v>0</v>
      </c>
      <c r="W49" s="8">
        <f t="shared" si="5"/>
        <v>0</v>
      </c>
      <c r="X49" s="11">
        <f t="shared" si="6"/>
        <v>0</v>
      </c>
    </row>
    <row r="50" ht="17" customHeight="1" spans="1:24">
      <c r="A50" s="5">
        <f t="shared" si="0"/>
        <v>46</v>
      </c>
      <c r="B50" s="12" t="str">
        <f>IF(Config!$B$52="","",Config!$B$52)</f>
        <v>Md Helal Uddin</v>
      </c>
      <c r="C50" s="13" t="str">
        <f>IF(Config!$B$52="","",Config!$C$52)</f>
        <v/>
      </c>
      <c r="D50" s="19">
        <f>IF($B50="","",IFERROR(Config!$F$7,0))</f>
        <v>10</v>
      </c>
      <c r="E50" s="21">
        <f>IF($B50="","",IF(Config!$E$7="",0,SUMIFS('Leave Records'!$I:$I,'Leave Records'!$B:$B,$B50,'Leave Records'!$D:$D,Config!$E$7,'Leave Records'!$K:$K,"Approved")))</f>
        <v>0</v>
      </c>
      <c r="F50" s="22">
        <f>IF($B50="","",IF(Config!$E$7="",0,SUMIFS('Leave Records'!$I:$I,'Leave Records'!$B:$B,$B50,'Leave Records'!$D:$D,Config!$E$7,'Leave Records'!$K:$K,"Pending")))</f>
        <v>0</v>
      </c>
      <c r="G50" s="9">
        <f t="shared" si="1"/>
        <v>10</v>
      </c>
      <c r="H50" s="19">
        <f>IF($B50="","",IFERROR(Config!$F$8,0))</f>
        <v>5</v>
      </c>
      <c r="I50" s="21">
        <f>IF($B50="","",IF(Config!$E$8="",0,SUMIFS('Leave Records'!$I:$I,'Leave Records'!$B:$B,$B50,'Leave Records'!$D:$D,Config!$E$8,'Leave Records'!$K:$K,"Approved")))</f>
        <v>0</v>
      </c>
      <c r="J50" s="22">
        <f>IF($B50="","",IF(Config!$E$8="",0,SUMIFS('Leave Records'!$I:$I,'Leave Records'!$B:$B,$B50,'Leave Records'!$D:$D,Config!$E$8,'Leave Records'!$K:$K,"Pending")))</f>
        <v>0</v>
      </c>
      <c r="K50" s="9">
        <f t="shared" si="2"/>
        <v>5</v>
      </c>
      <c r="L50" s="19">
        <f>IF($B50="","",IFERROR(Config!$F$9,0))</f>
        <v>0</v>
      </c>
      <c r="M50" s="21">
        <f>IF($B50="","",IF(Config!$E$9="",0,SUMIFS('Leave Records'!$I:$I,'Leave Records'!$B:$B,$B50,'Leave Records'!$D:$D,Config!$E$9,'Leave Records'!$K:$K,"Approved")))</f>
        <v>0</v>
      </c>
      <c r="N50" s="22">
        <f>IF($B50="","",IF(Config!$E$9="",0,SUMIFS('Leave Records'!$I:$I,'Leave Records'!$B:$B,$B50,'Leave Records'!$D:$D,Config!$E$9,'Leave Records'!$K:$K,"Pending")))</f>
        <v>0</v>
      </c>
      <c r="O50" s="9">
        <f t="shared" si="3"/>
        <v>0</v>
      </c>
      <c r="P50" s="19">
        <f>IF($B50="","",IFERROR(Config!$F$10,0))</f>
        <v>0</v>
      </c>
      <c r="Q50" s="21">
        <f>IF($B50="","",IF(Config!$E$10="",0,SUMIFS('Leave Records'!$I:$I,'Leave Records'!$B:$B,$B50,'Leave Records'!$D:$D,Config!$E$10,'Leave Records'!$K:$K,"Approved")))</f>
        <v>0</v>
      </c>
      <c r="R50" s="22">
        <f>IF($B50="","",IF(Config!$E$10="",0,SUMIFS('Leave Records'!$I:$I,'Leave Records'!$B:$B,$B50,'Leave Records'!$D:$D,Config!$E$10,'Leave Records'!$K:$K,"Pending")))</f>
        <v>0</v>
      </c>
      <c r="S50" s="9">
        <f t="shared" si="4"/>
        <v>0</v>
      </c>
      <c r="T50" s="19">
        <f>IF($B50="","",IFERROR(Config!$F$11,0))</f>
        <v>0</v>
      </c>
      <c r="U50" s="21">
        <f>IF($B50="","",IF(Config!$E$11="",0,SUMIFS('Leave Records'!$I:$I,'Leave Records'!$B:$B,$B50,'Leave Records'!$D:$D,Config!$E$11,'Leave Records'!$K:$K,"Approved")))</f>
        <v>0</v>
      </c>
      <c r="V50" s="22">
        <f>IF($B50="","",IF(Config!$E$11="",0,SUMIFS('Leave Records'!$I:$I,'Leave Records'!$B:$B,$B50,'Leave Records'!$D:$D,Config!$E$11,'Leave Records'!$K:$K,"Pending")))</f>
        <v>0</v>
      </c>
      <c r="W50" s="9">
        <f t="shared" si="5"/>
        <v>0</v>
      </c>
      <c r="X50" s="14">
        <f t="shared" si="6"/>
        <v>0</v>
      </c>
    </row>
    <row r="51" ht="17" customHeight="1" spans="1:24">
      <c r="A51" s="5">
        <f t="shared" si="0"/>
        <v>47</v>
      </c>
      <c r="B51" s="6" t="str">
        <f>IF(Config!$B$53="","",Config!$B$53)</f>
        <v>Shahida</v>
      </c>
      <c r="C51" s="7" t="str">
        <f>IF(Config!$B$53="","",Config!$C$53)</f>
        <v/>
      </c>
      <c r="D51" s="19">
        <f>IF($B51="","",IFERROR(Config!$F$7,0))</f>
        <v>10</v>
      </c>
      <c r="E51" s="10">
        <f>IF($B51="","",IF(Config!$E$7="",0,SUMIFS('Leave Records'!$I:$I,'Leave Records'!$B:$B,$B51,'Leave Records'!$D:$D,Config!$E$7,'Leave Records'!$K:$K,"Approved")))</f>
        <v>0</v>
      </c>
      <c r="F51" s="20">
        <f>IF($B51="","",IF(Config!$E$7="",0,SUMIFS('Leave Records'!$I:$I,'Leave Records'!$B:$B,$B51,'Leave Records'!$D:$D,Config!$E$7,'Leave Records'!$K:$K,"Pending")))</f>
        <v>0</v>
      </c>
      <c r="G51" s="8">
        <f t="shared" si="1"/>
        <v>10</v>
      </c>
      <c r="H51" s="19">
        <f>IF($B51="","",IFERROR(Config!$F$8,0))</f>
        <v>5</v>
      </c>
      <c r="I51" s="10">
        <f>IF($B51="","",IF(Config!$E$8="",0,SUMIFS('Leave Records'!$I:$I,'Leave Records'!$B:$B,$B51,'Leave Records'!$D:$D,Config!$E$8,'Leave Records'!$K:$K,"Approved")))</f>
        <v>0</v>
      </c>
      <c r="J51" s="20">
        <f>IF($B51="","",IF(Config!$E$8="",0,SUMIFS('Leave Records'!$I:$I,'Leave Records'!$B:$B,$B51,'Leave Records'!$D:$D,Config!$E$8,'Leave Records'!$K:$K,"Pending")))</f>
        <v>0</v>
      </c>
      <c r="K51" s="8">
        <f t="shared" si="2"/>
        <v>5</v>
      </c>
      <c r="L51" s="19">
        <f>IF($B51="","",IFERROR(Config!$F$9,0))</f>
        <v>0</v>
      </c>
      <c r="M51" s="10">
        <f>IF($B51="","",IF(Config!$E$9="",0,SUMIFS('Leave Records'!$I:$I,'Leave Records'!$B:$B,$B51,'Leave Records'!$D:$D,Config!$E$9,'Leave Records'!$K:$K,"Approved")))</f>
        <v>0</v>
      </c>
      <c r="N51" s="20">
        <f>IF($B51="","",IF(Config!$E$9="",0,SUMIFS('Leave Records'!$I:$I,'Leave Records'!$B:$B,$B51,'Leave Records'!$D:$D,Config!$E$9,'Leave Records'!$K:$K,"Pending")))</f>
        <v>0</v>
      </c>
      <c r="O51" s="8">
        <f t="shared" si="3"/>
        <v>0</v>
      </c>
      <c r="P51" s="19">
        <f>IF($B51="","",IFERROR(Config!$F$10,0))</f>
        <v>0</v>
      </c>
      <c r="Q51" s="10">
        <f>IF($B51="","",IF(Config!$E$10="",0,SUMIFS('Leave Records'!$I:$I,'Leave Records'!$B:$B,$B51,'Leave Records'!$D:$D,Config!$E$10,'Leave Records'!$K:$K,"Approved")))</f>
        <v>0</v>
      </c>
      <c r="R51" s="20">
        <f>IF($B51="","",IF(Config!$E$10="",0,SUMIFS('Leave Records'!$I:$I,'Leave Records'!$B:$B,$B51,'Leave Records'!$D:$D,Config!$E$10,'Leave Records'!$K:$K,"Pending")))</f>
        <v>0</v>
      </c>
      <c r="S51" s="8">
        <f t="shared" si="4"/>
        <v>0</v>
      </c>
      <c r="T51" s="19">
        <f>IF($B51="","",IFERROR(Config!$F$11,0))</f>
        <v>0</v>
      </c>
      <c r="U51" s="10">
        <f>IF($B51="","",IF(Config!$E$11="",0,SUMIFS('Leave Records'!$I:$I,'Leave Records'!$B:$B,$B51,'Leave Records'!$D:$D,Config!$E$11,'Leave Records'!$K:$K,"Approved")))</f>
        <v>0</v>
      </c>
      <c r="V51" s="20">
        <f>IF($B51="","",IF(Config!$E$11="",0,SUMIFS('Leave Records'!$I:$I,'Leave Records'!$B:$B,$B51,'Leave Records'!$D:$D,Config!$E$11,'Leave Records'!$K:$K,"Pending")))</f>
        <v>0</v>
      </c>
      <c r="W51" s="8">
        <f t="shared" si="5"/>
        <v>0</v>
      </c>
      <c r="X51" s="11">
        <f t="shared" si="6"/>
        <v>0</v>
      </c>
    </row>
    <row r="52" ht="17" customHeight="1" spans="1:24">
      <c r="A52" s="5">
        <f t="shared" si="0"/>
        <v>48</v>
      </c>
      <c r="B52" s="12" t="str">
        <f>IF(Config!$B$54="","",Config!$B$54)</f>
        <v>Rabeya Rima</v>
      </c>
      <c r="C52" s="13" t="str">
        <f>IF(Config!$B$54="","",Config!$C$54)</f>
        <v/>
      </c>
      <c r="D52" s="19">
        <f>IF($B52="","",IFERROR(Config!$F$7,0))</f>
        <v>10</v>
      </c>
      <c r="E52" s="21">
        <f>IF($B52="","",IF(Config!$E$7="",0,SUMIFS('Leave Records'!$I:$I,'Leave Records'!$B:$B,$B52,'Leave Records'!$D:$D,Config!$E$7,'Leave Records'!$K:$K,"Approved")))</f>
        <v>0</v>
      </c>
      <c r="F52" s="22">
        <f>IF($B52="","",IF(Config!$E$7="",0,SUMIFS('Leave Records'!$I:$I,'Leave Records'!$B:$B,$B52,'Leave Records'!$D:$D,Config!$E$7,'Leave Records'!$K:$K,"Pending")))</f>
        <v>0</v>
      </c>
      <c r="G52" s="9">
        <f t="shared" si="1"/>
        <v>10</v>
      </c>
      <c r="H52" s="19">
        <f>IF($B52="","",IFERROR(Config!$F$8,0))</f>
        <v>5</v>
      </c>
      <c r="I52" s="21">
        <f>IF($B52="","",IF(Config!$E$8="",0,SUMIFS('Leave Records'!$I:$I,'Leave Records'!$B:$B,$B52,'Leave Records'!$D:$D,Config!$E$8,'Leave Records'!$K:$K,"Approved")))</f>
        <v>0</v>
      </c>
      <c r="J52" s="22">
        <f>IF($B52="","",IF(Config!$E$8="",0,SUMIFS('Leave Records'!$I:$I,'Leave Records'!$B:$B,$B52,'Leave Records'!$D:$D,Config!$E$8,'Leave Records'!$K:$K,"Pending")))</f>
        <v>0</v>
      </c>
      <c r="K52" s="9">
        <f t="shared" si="2"/>
        <v>5</v>
      </c>
      <c r="L52" s="19">
        <f>IF($B52="","",IFERROR(Config!$F$9,0))</f>
        <v>0</v>
      </c>
      <c r="M52" s="21">
        <f>IF($B52="","",IF(Config!$E$9="",0,SUMIFS('Leave Records'!$I:$I,'Leave Records'!$B:$B,$B52,'Leave Records'!$D:$D,Config!$E$9,'Leave Records'!$K:$K,"Approved")))</f>
        <v>0</v>
      </c>
      <c r="N52" s="22">
        <f>IF($B52="","",IF(Config!$E$9="",0,SUMIFS('Leave Records'!$I:$I,'Leave Records'!$B:$B,$B52,'Leave Records'!$D:$D,Config!$E$9,'Leave Records'!$K:$K,"Pending")))</f>
        <v>0</v>
      </c>
      <c r="O52" s="9">
        <f t="shared" si="3"/>
        <v>0</v>
      </c>
      <c r="P52" s="19">
        <f>IF($B52="","",IFERROR(Config!$F$10,0))</f>
        <v>0</v>
      </c>
      <c r="Q52" s="21">
        <f>IF($B52="","",IF(Config!$E$10="",0,SUMIFS('Leave Records'!$I:$I,'Leave Records'!$B:$B,$B52,'Leave Records'!$D:$D,Config!$E$10,'Leave Records'!$K:$K,"Approved")))</f>
        <v>0</v>
      </c>
      <c r="R52" s="22">
        <f>IF($B52="","",IF(Config!$E$10="",0,SUMIFS('Leave Records'!$I:$I,'Leave Records'!$B:$B,$B52,'Leave Records'!$D:$D,Config!$E$10,'Leave Records'!$K:$K,"Pending")))</f>
        <v>0</v>
      </c>
      <c r="S52" s="9">
        <f t="shared" si="4"/>
        <v>0</v>
      </c>
      <c r="T52" s="19">
        <f>IF($B52="","",IFERROR(Config!$F$11,0))</f>
        <v>0</v>
      </c>
      <c r="U52" s="21">
        <f>IF($B52="","",IF(Config!$E$11="",0,SUMIFS('Leave Records'!$I:$I,'Leave Records'!$B:$B,$B52,'Leave Records'!$D:$D,Config!$E$11,'Leave Records'!$K:$K,"Approved")))</f>
        <v>0</v>
      </c>
      <c r="V52" s="22">
        <f>IF($B52="","",IF(Config!$E$11="",0,SUMIFS('Leave Records'!$I:$I,'Leave Records'!$B:$B,$B52,'Leave Records'!$D:$D,Config!$E$11,'Leave Records'!$K:$K,"Pending")))</f>
        <v>0</v>
      </c>
      <c r="W52" s="9">
        <f t="shared" si="5"/>
        <v>0</v>
      </c>
      <c r="X52" s="14">
        <f t="shared" si="6"/>
        <v>0</v>
      </c>
    </row>
    <row r="53" ht="17" customHeight="1" spans="1:24">
      <c r="A53" s="5">
        <f t="shared" si="0"/>
        <v>49</v>
      </c>
      <c r="B53" s="6" t="str">
        <f>IF(Config!$B$55="","",Config!$B$55)</f>
        <v>Moyna</v>
      </c>
      <c r="C53" s="7" t="str">
        <f>IF(Config!$B$55="","",Config!$C$55)</f>
        <v/>
      </c>
      <c r="D53" s="19">
        <f>IF($B53="","",IFERROR(Config!$F$7,0))</f>
        <v>10</v>
      </c>
      <c r="E53" s="10">
        <f>IF($B53="","",IF(Config!$E$7="",0,SUMIFS('Leave Records'!$I:$I,'Leave Records'!$B:$B,$B53,'Leave Records'!$D:$D,Config!$E$7,'Leave Records'!$K:$K,"Approved")))</f>
        <v>0</v>
      </c>
      <c r="F53" s="20">
        <f>IF($B53="","",IF(Config!$E$7="",0,SUMIFS('Leave Records'!$I:$I,'Leave Records'!$B:$B,$B53,'Leave Records'!$D:$D,Config!$E$7,'Leave Records'!$K:$K,"Pending")))</f>
        <v>0</v>
      </c>
      <c r="G53" s="8">
        <f t="shared" si="1"/>
        <v>10</v>
      </c>
      <c r="H53" s="19">
        <f>IF($B53="","",IFERROR(Config!$F$8,0))</f>
        <v>5</v>
      </c>
      <c r="I53" s="10">
        <f>IF($B53="","",IF(Config!$E$8="",0,SUMIFS('Leave Records'!$I:$I,'Leave Records'!$B:$B,$B53,'Leave Records'!$D:$D,Config!$E$8,'Leave Records'!$K:$K,"Approved")))</f>
        <v>0</v>
      </c>
      <c r="J53" s="20">
        <f>IF($B53="","",IF(Config!$E$8="",0,SUMIFS('Leave Records'!$I:$I,'Leave Records'!$B:$B,$B53,'Leave Records'!$D:$D,Config!$E$8,'Leave Records'!$K:$K,"Pending")))</f>
        <v>0</v>
      </c>
      <c r="K53" s="8">
        <f t="shared" si="2"/>
        <v>5</v>
      </c>
      <c r="L53" s="19">
        <f>IF($B53="","",IFERROR(Config!$F$9,0))</f>
        <v>0</v>
      </c>
      <c r="M53" s="10">
        <f>IF($B53="","",IF(Config!$E$9="",0,SUMIFS('Leave Records'!$I:$I,'Leave Records'!$B:$B,$B53,'Leave Records'!$D:$D,Config!$E$9,'Leave Records'!$K:$K,"Approved")))</f>
        <v>0</v>
      </c>
      <c r="N53" s="20">
        <f>IF($B53="","",IF(Config!$E$9="",0,SUMIFS('Leave Records'!$I:$I,'Leave Records'!$B:$B,$B53,'Leave Records'!$D:$D,Config!$E$9,'Leave Records'!$K:$K,"Pending")))</f>
        <v>0</v>
      </c>
      <c r="O53" s="8">
        <f t="shared" si="3"/>
        <v>0</v>
      </c>
      <c r="P53" s="19">
        <f>IF($B53="","",IFERROR(Config!$F$10,0))</f>
        <v>0</v>
      </c>
      <c r="Q53" s="10">
        <f>IF($B53="","",IF(Config!$E$10="",0,SUMIFS('Leave Records'!$I:$I,'Leave Records'!$B:$B,$B53,'Leave Records'!$D:$D,Config!$E$10,'Leave Records'!$K:$K,"Approved")))</f>
        <v>0</v>
      </c>
      <c r="R53" s="20">
        <f>IF($B53="","",IF(Config!$E$10="",0,SUMIFS('Leave Records'!$I:$I,'Leave Records'!$B:$B,$B53,'Leave Records'!$D:$D,Config!$E$10,'Leave Records'!$K:$K,"Pending")))</f>
        <v>0</v>
      </c>
      <c r="S53" s="8">
        <f t="shared" si="4"/>
        <v>0</v>
      </c>
      <c r="T53" s="19">
        <f>IF($B53="","",IFERROR(Config!$F$11,0))</f>
        <v>0</v>
      </c>
      <c r="U53" s="10">
        <f>IF($B53="","",IF(Config!$E$11="",0,SUMIFS('Leave Records'!$I:$I,'Leave Records'!$B:$B,$B53,'Leave Records'!$D:$D,Config!$E$11,'Leave Records'!$K:$K,"Approved")))</f>
        <v>0</v>
      </c>
      <c r="V53" s="20">
        <f>IF($B53="","",IF(Config!$E$11="",0,SUMIFS('Leave Records'!$I:$I,'Leave Records'!$B:$B,$B53,'Leave Records'!$D:$D,Config!$E$11,'Leave Records'!$K:$K,"Pending")))</f>
        <v>0</v>
      </c>
      <c r="W53" s="8">
        <f t="shared" si="5"/>
        <v>0</v>
      </c>
      <c r="X53" s="11">
        <f t="shared" si="6"/>
        <v>0</v>
      </c>
    </row>
    <row r="54" ht="17" customHeight="1" spans="1:24">
      <c r="A54" s="5">
        <f t="shared" si="0"/>
        <v>50</v>
      </c>
      <c r="B54" s="12" t="str">
        <f>IF(Config!$B$56="","",Config!$B$56)</f>
        <v>Rohima</v>
      </c>
      <c r="C54" s="13" t="str">
        <f>IF(Config!$B$56="","",Config!$C$56)</f>
        <v/>
      </c>
      <c r="D54" s="19">
        <f>IF($B54="","",IFERROR(Config!$F$7,0))</f>
        <v>10</v>
      </c>
      <c r="E54" s="21">
        <f>IF($B54="","",IF(Config!$E$7="",0,SUMIFS('Leave Records'!$I:$I,'Leave Records'!$B:$B,$B54,'Leave Records'!$D:$D,Config!$E$7,'Leave Records'!$K:$K,"Approved")))</f>
        <v>0</v>
      </c>
      <c r="F54" s="22">
        <f>IF($B54="","",IF(Config!$E$7="",0,SUMIFS('Leave Records'!$I:$I,'Leave Records'!$B:$B,$B54,'Leave Records'!$D:$D,Config!$E$7,'Leave Records'!$K:$K,"Pending")))</f>
        <v>0</v>
      </c>
      <c r="G54" s="9">
        <f t="shared" si="1"/>
        <v>10</v>
      </c>
      <c r="H54" s="19">
        <f>IF($B54="","",IFERROR(Config!$F$8,0))</f>
        <v>5</v>
      </c>
      <c r="I54" s="21">
        <f>IF($B54="","",IF(Config!$E$8="",0,SUMIFS('Leave Records'!$I:$I,'Leave Records'!$B:$B,$B54,'Leave Records'!$D:$D,Config!$E$8,'Leave Records'!$K:$K,"Approved")))</f>
        <v>0</v>
      </c>
      <c r="J54" s="22">
        <f>IF($B54="","",IF(Config!$E$8="",0,SUMIFS('Leave Records'!$I:$I,'Leave Records'!$B:$B,$B54,'Leave Records'!$D:$D,Config!$E$8,'Leave Records'!$K:$K,"Pending")))</f>
        <v>0</v>
      </c>
      <c r="K54" s="9">
        <f t="shared" si="2"/>
        <v>5</v>
      </c>
      <c r="L54" s="19">
        <f>IF($B54="","",IFERROR(Config!$F$9,0))</f>
        <v>0</v>
      </c>
      <c r="M54" s="21">
        <f>IF($B54="","",IF(Config!$E$9="",0,SUMIFS('Leave Records'!$I:$I,'Leave Records'!$B:$B,$B54,'Leave Records'!$D:$D,Config!$E$9,'Leave Records'!$K:$K,"Approved")))</f>
        <v>0</v>
      </c>
      <c r="N54" s="22">
        <f>IF($B54="","",IF(Config!$E$9="",0,SUMIFS('Leave Records'!$I:$I,'Leave Records'!$B:$B,$B54,'Leave Records'!$D:$D,Config!$E$9,'Leave Records'!$K:$K,"Pending")))</f>
        <v>0</v>
      </c>
      <c r="O54" s="9">
        <f t="shared" si="3"/>
        <v>0</v>
      </c>
      <c r="P54" s="19">
        <f>IF($B54="","",IFERROR(Config!$F$10,0))</f>
        <v>0</v>
      </c>
      <c r="Q54" s="21">
        <f>IF($B54="","",IF(Config!$E$10="",0,SUMIFS('Leave Records'!$I:$I,'Leave Records'!$B:$B,$B54,'Leave Records'!$D:$D,Config!$E$10,'Leave Records'!$K:$K,"Approved")))</f>
        <v>0</v>
      </c>
      <c r="R54" s="22">
        <f>IF($B54="","",IF(Config!$E$10="",0,SUMIFS('Leave Records'!$I:$I,'Leave Records'!$B:$B,$B54,'Leave Records'!$D:$D,Config!$E$10,'Leave Records'!$K:$K,"Pending")))</f>
        <v>0</v>
      </c>
      <c r="S54" s="9">
        <f t="shared" si="4"/>
        <v>0</v>
      </c>
      <c r="T54" s="19">
        <f>IF($B54="","",IFERROR(Config!$F$11,0))</f>
        <v>0</v>
      </c>
      <c r="U54" s="21">
        <f>IF($B54="","",IF(Config!$E$11="",0,SUMIFS('Leave Records'!$I:$I,'Leave Records'!$B:$B,$B54,'Leave Records'!$D:$D,Config!$E$11,'Leave Records'!$K:$K,"Approved")))</f>
        <v>0</v>
      </c>
      <c r="V54" s="22">
        <f>IF($B54="","",IF(Config!$E$11="",0,SUMIFS('Leave Records'!$I:$I,'Leave Records'!$B:$B,$B54,'Leave Records'!$D:$D,Config!$E$11,'Leave Records'!$K:$K,"Pending")))</f>
        <v>0</v>
      </c>
      <c r="W54" s="9">
        <f t="shared" si="5"/>
        <v>0</v>
      </c>
      <c r="X54" s="14">
        <f t="shared" si="6"/>
        <v>0</v>
      </c>
    </row>
    <row r="55" ht="17" customHeight="1" spans="1:24">
      <c r="A55" s="5">
        <f t="shared" si="0"/>
        <v>51</v>
      </c>
      <c r="B55" s="6" t="str">
        <f>IF(Config!$B$57="","",Config!$B$57)</f>
        <v>Sharmin</v>
      </c>
      <c r="C55" s="7" t="str">
        <f>IF(Config!$B$57="","",Config!$C$57)</f>
        <v/>
      </c>
      <c r="D55" s="19">
        <f>IF($B55="","",IFERROR(Config!$F$7,0))</f>
        <v>10</v>
      </c>
      <c r="E55" s="10">
        <f>IF($B55="","",IF(Config!$E$7="",0,SUMIFS('Leave Records'!$I:$I,'Leave Records'!$B:$B,$B55,'Leave Records'!$D:$D,Config!$E$7,'Leave Records'!$K:$K,"Approved")))</f>
        <v>0</v>
      </c>
      <c r="F55" s="20">
        <f>IF($B55="","",IF(Config!$E$7="",0,SUMIFS('Leave Records'!$I:$I,'Leave Records'!$B:$B,$B55,'Leave Records'!$D:$D,Config!$E$7,'Leave Records'!$K:$K,"Pending")))</f>
        <v>0</v>
      </c>
      <c r="G55" s="8">
        <f t="shared" si="1"/>
        <v>10</v>
      </c>
      <c r="H55" s="19">
        <f>IF($B55="","",IFERROR(Config!$F$8,0))</f>
        <v>5</v>
      </c>
      <c r="I55" s="10">
        <f>IF($B55="","",IF(Config!$E$8="",0,SUMIFS('Leave Records'!$I:$I,'Leave Records'!$B:$B,$B55,'Leave Records'!$D:$D,Config!$E$8,'Leave Records'!$K:$K,"Approved")))</f>
        <v>0</v>
      </c>
      <c r="J55" s="20">
        <f>IF($B55="","",IF(Config!$E$8="",0,SUMIFS('Leave Records'!$I:$I,'Leave Records'!$B:$B,$B55,'Leave Records'!$D:$D,Config!$E$8,'Leave Records'!$K:$K,"Pending")))</f>
        <v>0</v>
      </c>
      <c r="K55" s="8">
        <f t="shared" si="2"/>
        <v>5</v>
      </c>
      <c r="L55" s="19">
        <f>IF($B55="","",IFERROR(Config!$F$9,0))</f>
        <v>0</v>
      </c>
      <c r="M55" s="10">
        <f>IF($B55="","",IF(Config!$E$9="",0,SUMIFS('Leave Records'!$I:$I,'Leave Records'!$B:$B,$B55,'Leave Records'!$D:$D,Config!$E$9,'Leave Records'!$K:$K,"Approved")))</f>
        <v>0</v>
      </c>
      <c r="N55" s="20">
        <f>IF($B55="","",IF(Config!$E$9="",0,SUMIFS('Leave Records'!$I:$I,'Leave Records'!$B:$B,$B55,'Leave Records'!$D:$D,Config!$E$9,'Leave Records'!$K:$K,"Pending")))</f>
        <v>0</v>
      </c>
      <c r="O55" s="8">
        <f t="shared" si="3"/>
        <v>0</v>
      </c>
      <c r="P55" s="19">
        <f>IF($B55="","",IFERROR(Config!$F$10,0))</f>
        <v>0</v>
      </c>
      <c r="Q55" s="10">
        <f>IF($B55="","",IF(Config!$E$10="",0,SUMIFS('Leave Records'!$I:$I,'Leave Records'!$B:$B,$B55,'Leave Records'!$D:$D,Config!$E$10,'Leave Records'!$K:$K,"Approved")))</f>
        <v>0</v>
      </c>
      <c r="R55" s="20">
        <f>IF($B55="","",IF(Config!$E$10="",0,SUMIFS('Leave Records'!$I:$I,'Leave Records'!$B:$B,$B55,'Leave Records'!$D:$D,Config!$E$10,'Leave Records'!$K:$K,"Pending")))</f>
        <v>0</v>
      </c>
      <c r="S55" s="8">
        <f t="shared" si="4"/>
        <v>0</v>
      </c>
      <c r="T55" s="19">
        <f>IF($B55="","",IFERROR(Config!$F$11,0))</f>
        <v>0</v>
      </c>
      <c r="U55" s="10">
        <f>IF($B55="","",IF(Config!$E$11="",0,SUMIFS('Leave Records'!$I:$I,'Leave Records'!$B:$B,$B55,'Leave Records'!$D:$D,Config!$E$11,'Leave Records'!$K:$K,"Approved")))</f>
        <v>0</v>
      </c>
      <c r="V55" s="20">
        <f>IF($B55="","",IF(Config!$E$11="",0,SUMIFS('Leave Records'!$I:$I,'Leave Records'!$B:$B,$B55,'Leave Records'!$D:$D,Config!$E$11,'Leave Records'!$K:$K,"Pending")))</f>
        <v>0</v>
      </c>
      <c r="W55" s="8">
        <f t="shared" si="5"/>
        <v>0</v>
      </c>
      <c r="X55" s="11">
        <f t="shared" si="6"/>
        <v>0</v>
      </c>
    </row>
    <row r="56" ht="17" customHeight="1" spans="1:24">
      <c r="A56" s="5">
        <f t="shared" si="0"/>
        <v>52</v>
      </c>
      <c r="B56" s="12" t="str">
        <f>IF(Config!$B$58="","",Config!$B$58)</f>
        <v>Nargis Akter</v>
      </c>
      <c r="C56" s="13" t="str">
        <f>IF(Config!$B$58="","",Config!$C$58)</f>
        <v/>
      </c>
      <c r="D56" s="19">
        <f>IF($B56="","",IFERROR(Config!$F$7,0))</f>
        <v>10</v>
      </c>
      <c r="E56" s="21">
        <f>IF($B56="","",IF(Config!$E$7="",0,SUMIFS('Leave Records'!$I:$I,'Leave Records'!$B:$B,$B56,'Leave Records'!$D:$D,Config!$E$7,'Leave Records'!$K:$K,"Approved")))</f>
        <v>0</v>
      </c>
      <c r="F56" s="22">
        <f>IF($B56="","",IF(Config!$E$7="",0,SUMIFS('Leave Records'!$I:$I,'Leave Records'!$B:$B,$B56,'Leave Records'!$D:$D,Config!$E$7,'Leave Records'!$K:$K,"Pending")))</f>
        <v>0</v>
      </c>
      <c r="G56" s="9">
        <f t="shared" si="1"/>
        <v>10</v>
      </c>
      <c r="H56" s="19">
        <f>IF($B56="","",IFERROR(Config!$F$8,0))</f>
        <v>5</v>
      </c>
      <c r="I56" s="21">
        <f>IF($B56="","",IF(Config!$E$8="",0,SUMIFS('Leave Records'!$I:$I,'Leave Records'!$B:$B,$B56,'Leave Records'!$D:$D,Config!$E$8,'Leave Records'!$K:$K,"Approved")))</f>
        <v>0</v>
      </c>
      <c r="J56" s="22">
        <f>IF($B56="","",IF(Config!$E$8="",0,SUMIFS('Leave Records'!$I:$I,'Leave Records'!$B:$B,$B56,'Leave Records'!$D:$D,Config!$E$8,'Leave Records'!$K:$K,"Pending")))</f>
        <v>0</v>
      </c>
      <c r="K56" s="9">
        <f t="shared" si="2"/>
        <v>5</v>
      </c>
      <c r="L56" s="19">
        <f>IF($B56="","",IFERROR(Config!$F$9,0))</f>
        <v>0</v>
      </c>
      <c r="M56" s="21">
        <f>IF($B56="","",IF(Config!$E$9="",0,SUMIFS('Leave Records'!$I:$I,'Leave Records'!$B:$B,$B56,'Leave Records'!$D:$D,Config!$E$9,'Leave Records'!$K:$K,"Approved")))</f>
        <v>0</v>
      </c>
      <c r="N56" s="22">
        <f>IF($B56="","",IF(Config!$E$9="",0,SUMIFS('Leave Records'!$I:$I,'Leave Records'!$B:$B,$B56,'Leave Records'!$D:$D,Config!$E$9,'Leave Records'!$K:$K,"Pending")))</f>
        <v>0</v>
      </c>
      <c r="O56" s="9">
        <f t="shared" si="3"/>
        <v>0</v>
      </c>
      <c r="P56" s="19">
        <f>IF($B56="","",IFERROR(Config!$F$10,0))</f>
        <v>0</v>
      </c>
      <c r="Q56" s="21">
        <f>IF($B56="","",IF(Config!$E$10="",0,SUMIFS('Leave Records'!$I:$I,'Leave Records'!$B:$B,$B56,'Leave Records'!$D:$D,Config!$E$10,'Leave Records'!$K:$K,"Approved")))</f>
        <v>0</v>
      </c>
      <c r="R56" s="22">
        <f>IF($B56="","",IF(Config!$E$10="",0,SUMIFS('Leave Records'!$I:$I,'Leave Records'!$B:$B,$B56,'Leave Records'!$D:$D,Config!$E$10,'Leave Records'!$K:$K,"Pending")))</f>
        <v>0</v>
      </c>
      <c r="S56" s="9">
        <f t="shared" si="4"/>
        <v>0</v>
      </c>
      <c r="T56" s="19">
        <f>IF($B56="","",IFERROR(Config!$F$11,0))</f>
        <v>0</v>
      </c>
      <c r="U56" s="21">
        <f>IF($B56="","",IF(Config!$E$11="",0,SUMIFS('Leave Records'!$I:$I,'Leave Records'!$B:$B,$B56,'Leave Records'!$D:$D,Config!$E$11,'Leave Records'!$K:$K,"Approved")))</f>
        <v>0</v>
      </c>
      <c r="V56" s="22">
        <f>IF($B56="","",IF(Config!$E$11="",0,SUMIFS('Leave Records'!$I:$I,'Leave Records'!$B:$B,$B56,'Leave Records'!$D:$D,Config!$E$11,'Leave Records'!$K:$K,"Pending")))</f>
        <v>0</v>
      </c>
      <c r="W56" s="9">
        <f t="shared" si="5"/>
        <v>0</v>
      </c>
      <c r="X56" s="14">
        <f t="shared" si="6"/>
        <v>0</v>
      </c>
    </row>
    <row r="57" ht="17" customHeight="1" spans="1:24">
      <c r="A57" s="5">
        <f t="shared" si="0"/>
        <v>53</v>
      </c>
      <c r="B57" s="6" t="str">
        <f>IF(Config!$B$59="","",Config!$B$59)</f>
        <v>Sanjida Islam</v>
      </c>
      <c r="C57" s="7" t="str">
        <f>IF(Config!$B$59="","",Config!$C$59)</f>
        <v/>
      </c>
      <c r="D57" s="19">
        <f>IF($B57="","",IFERROR(Config!$F$7,0))</f>
        <v>10</v>
      </c>
      <c r="E57" s="10">
        <f>IF($B57="","",IF(Config!$E$7="",0,SUMIFS('Leave Records'!$I:$I,'Leave Records'!$B:$B,$B57,'Leave Records'!$D:$D,Config!$E$7,'Leave Records'!$K:$K,"Approved")))</f>
        <v>14</v>
      </c>
      <c r="F57" s="20">
        <f>IF($B57="","",IF(Config!$E$7="",0,SUMIFS('Leave Records'!$I:$I,'Leave Records'!$B:$B,$B57,'Leave Records'!$D:$D,Config!$E$7,'Leave Records'!$K:$K,"Pending")))</f>
        <v>0</v>
      </c>
      <c r="G57" s="8">
        <f t="shared" si="1"/>
        <v>-4</v>
      </c>
      <c r="H57" s="19">
        <f>IF($B57="","",IFERROR(Config!$F$8,0))</f>
        <v>5</v>
      </c>
      <c r="I57" s="10">
        <f>IF($B57="","",IF(Config!$E$8="",0,SUMIFS('Leave Records'!$I:$I,'Leave Records'!$B:$B,$B57,'Leave Records'!$D:$D,Config!$E$8,'Leave Records'!$K:$K,"Approved")))</f>
        <v>0</v>
      </c>
      <c r="J57" s="20">
        <f>IF($B57="","",IF(Config!$E$8="",0,SUMIFS('Leave Records'!$I:$I,'Leave Records'!$B:$B,$B57,'Leave Records'!$D:$D,Config!$E$8,'Leave Records'!$K:$K,"Pending")))</f>
        <v>0</v>
      </c>
      <c r="K57" s="8">
        <f t="shared" si="2"/>
        <v>5</v>
      </c>
      <c r="L57" s="19">
        <f>IF($B57="","",IFERROR(Config!$F$9,0))</f>
        <v>0</v>
      </c>
      <c r="M57" s="10">
        <f>IF($B57="","",IF(Config!$E$9="",0,SUMIFS('Leave Records'!$I:$I,'Leave Records'!$B:$B,$B57,'Leave Records'!$D:$D,Config!$E$9,'Leave Records'!$K:$K,"Approved")))</f>
        <v>0</v>
      </c>
      <c r="N57" s="20">
        <f>IF($B57="","",IF(Config!$E$9="",0,SUMIFS('Leave Records'!$I:$I,'Leave Records'!$B:$B,$B57,'Leave Records'!$D:$D,Config!$E$9,'Leave Records'!$K:$K,"Pending")))</f>
        <v>0</v>
      </c>
      <c r="O57" s="8">
        <f t="shared" si="3"/>
        <v>0</v>
      </c>
      <c r="P57" s="19">
        <f>IF($B57="","",IFERROR(Config!$F$10,0))</f>
        <v>0</v>
      </c>
      <c r="Q57" s="10">
        <f>IF($B57="","",IF(Config!$E$10="",0,SUMIFS('Leave Records'!$I:$I,'Leave Records'!$B:$B,$B57,'Leave Records'!$D:$D,Config!$E$10,'Leave Records'!$K:$K,"Approved")))</f>
        <v>0</v>
      </c>
      <c r="R57" s="20">
        <f>IF($B57="","",IF(Config!$E$10="",0,SUMIFS('Leave Records'!$I:$I,'Leave Records'!$B:$B,$B57,'Leave Records'!$D:$D,Config!$E$10,'Leave Records'!$K:$K,"Pending")))</f>
        <v>0</v>
      </c>
      <c r="S57" s="8">
        <f t="shared" si="4"/>
        <v>0</v>
      </c>
      <c r="T57" s="19">
        <f>IF($B57="","",IFERROR(Config!$F$11,0))</f>
        <v>0</v>
      </c>
      <c r="U57" s="10">
        <f>IF($B57="","",IF(Config!$E$11="",0,SUMIFS('Leave Records'!$I:$I,'Leave Records'!$B:$B,$B57,'Leave Records'!$D:$D,Config!$E$11,'Leave Records'!$K:$K,"Approved")))</f>
        <v>0</v>
      </c>
      <c r="V57" s="20">
        <f>IF($B57="","",IF(Config!$E$11="",0,SUMIFS('Leave Records'!$I:$I,'Leave Records'!$B:$B,$B57,'Leave Records'!$D:$D,Config!$E$11,'Leave Records'!$K:$K,"Pending")))</f>
        <v>0</v>
      </c>
      <c r="W57" s="8">
        <f t="shared" si="5"/>
        <v>0</v>
      </c>
      <c r="X57" s="11">
        <f t="shared" si="6"/>
        <v>14</v>
      </c>
    </row>
    <row r="58" ht="17" customHeight="1" spans="1:24">
      <c r="A58" s="5" t="str">
        <f t="shared" si="0"/>
        <v/>
      </c>
      <c r="B58" s="12" t="str">
        <f>IF(Config!$B$60="","",Config!$B$60)</f>
        <v/>
      </c>
      <c r="C58" s="13" t="str">
        <f>IF(Config!$B$60="","",Config!$C$60)</f>
        <v/>
      </c>
      <c r="D58" s="19" t="str">
        <f>IF($B58="","",IFERROR(Config!$F$7,0))</f>
        <v/>
      </c>
      <c r="E58" s="21" t="str">
        <f>IF($B58="","",IF(Config!$E$7="",0,SUMIFS('Leave Records'!$I:$I,'Leave Records'!$B:$B,$B58,'Leave Records'!$D:$D,Config!$E$7,'Leave Records'!$K:$K,"Approved")))</f>
        <v/>
      </c>
      <c r="F58" s="22" t="str">
        <f>IF($B58="","",IF(Config!$E$7="",0,SUMIFS('Leave Records'!$I:$I,'Leave Records'!$B:$B,$B58,'Leave Records'!$D:$D,Config!$E$7,'Leave Records'!$K:$K,"Pending")))</f>
        <v/>
      </c>
      <c r="G58" s="9" t="str">
        <f t="shared" si="1"/>
        <v/>
      </c>
      <c r="H58" s="19" t="str">
        <f>IF($B58="","",IFERROR(Config!$F$8,0))</f>
        <v/>
      </c>
      <c r="I58" s="21" t="str">
        <f>IF($B58="","",IF(Config!$E$8="",0,SUMIFS('Leave Records'!$I:$I,'Leave Records'!$B:$B,$B58,'Leave Records'!$D:$D,Config!$E$8,'Leave Records'!$K:$K,"Approved")))</f>
        <v/>
      </c>
      <c r="J58" s="22" t="str">
        <f>IF($B58="","",IF(Config!$E$8="",0,SUMIFS('Leave Records'!$I:$I,'Leave Records'!$B:$B,$B58,'Leave Records'!$D:$D,Config!$E$8,'Leave Records'!$K:$K,"Pending")))</f>
        <v/>
      </c>
      <c r="K58" s="9" t="str">
        <f t="shared" si="2"/>
        <v/>
      </c>
      <c r="L58" s="19" t="str">
        <f>IF($B58="","",IFERROR(Config!$F$9,0))</f>
        <v/>
      </c>
      <c r="M58" s="21" t="str">
        <f>IF($B58="","",IF(Config!$E$9="",0,SUMIFS('Leave Records'!$I:$I,'Leave Records'!$B:$B,$B58,'Leave Records'!$D:$D,Config!$E$9,'Leave Records'!$K:$K,"Approved")))</f>
        <v/>
      </c>
      <c r="N58" s="22" t="str">
        <f>IF($B58="","",IF(Config!$E$9="",0,SUMIFS('Leave Records'!$I:$I,'Leave Records'!$B:$B,$B58,'Leave Records'!$D:$D,Config!$E$9,'Leave Records'!$K:$K,"Pending")))</f>
        <v/>
      </c>
      <c r="O58" s="9" t="str">
        <f t="shared" si="3"/>
        <v/>
      </c>
      <c r="P58" s="19" t="str">
        <f>IF($B58="","",IFERROR(Config!$F$10,0))</f>
        <v/>
      </c>
      <c r="Q58" s="21" t="str">
        <f>IF($B58="","",IF(Config!$E$10="",0,SUMIFS('Leave Records'!$I:$I,'Leave Records'!$B:$B,$B58,'Leave Records'!$D:$D,Config!$E$10,'Leave Records'!$K:$K,"Approved")))</f>
        <v/>
      </c>
      <c r="R58" s="22" t="str">
        <f>IF($B58="","",IF(Config!$E$10="",0,SUMIFS('Leave Records'!$I:$I,'Leave Records'!$B:$B,$B58,'Leave Records'!$D:$D,Config!$E$10,'Leave Records'!$K:$K,"Pending")))</f>
        <v/>
      </c>
      <c r="S58" s="9" t="str">
        <f t="shared" si="4"/>
        <v/>
      </c>
      <c r="T58" s="19" t="str">
        <f>IF($B58="","",IFERROR(Config!$F$11,0))</f>
        <v/>
      </c>
      <c r="U58" s="21" t="str">
        <f>IF($B58="","",IF(Config!$E$11="",0,SUMIFS('Leave Records'!$I:$I,'Leave Records'!$B:$B,$B58,'Leave Records'!$D:$D,Config!$E$11,'Leave Records'!$K:$K,"Approved")))</f>
        <v/>
      </c>
      <c r="V58" s="22" t="str">
        <f>IF($B58="","",IF(Config!$E$11="",0,SUMIFS('Leave Records'!$I:$I,'Leave Records'!$B:$B,$B58,'Leave Records'!$D:$D,Config!$E$11,'Leave Records'!$K:$K,"Pending")))</f>
        <v/>
      </c>
      <c r="W58" s="9" t="str">
        <f t="shared" si="5"/>
        <v/>
      </c>
      <c r="X58" s="14" t="str">
        <f t="shared" si="6"/>
        <v/>
      </c>
    </row>
    <row r="59" ht="17" customHeight="1" spans="1:24">
      <c r="A59" s="5" t="str">
        <f t="shared" si="0"/>
        <v/>
      </c>
      <c r="B59" s="6" t="str">
        <f>IF(Config!$B$61="","",Config!$B$61)</f>
        <v/>
      </c>
      <c r="C59" s="7" t="str">
        <f>IF(Config!$B$61="","",Config!$C$61)</f>
        <v/>
      </c>
      <c r="D59" s="19" t="str">
        <f>IF($B59="","",IFERROR(Config!$F$7,0))</f>
        <v/>
      </c>
      <c r="E59" s="10" t="str">
        <f>IF($B59="","",IF(Config!$E$7="",0,SUMIFS('Leave Records'!$I:$I,'Leave Records'!$B:$B,$B59,'Leave Records'!$D:$D,Config!$E$7,'Leave Records'!$K:$K,"Approved")))</f>
        <v/>
      </c>
      <c r="F59" s="20" t="str">
        <f>IF($B59="","",IF(Config!$E$7="",0,SUMIFS('Leave Records'!$I:$I,'Leave Records'!$B:$B,$B59,'Leave Records'!$D:$D,Config!$E$7,'Leave Records'!$K:$K,"Pending")))</f>
        <v/>
      </c>
      <c r="G59" s="8" t="str">
        <f t="shared" si="1"/>
        <v/>
      </c>
      <c r="H59" s="19" t="str">
        <f>IF($B59="","",IFERROR(Config!$F$8,0))</f>
        <v/>
      </c>
      <c r="I59" s="10" t="str">
        <f>IF($B59="","",IF(Config!$E$8="",0,SUMIFS('Leave Records'!$I:$I,'Leave Records'!$B:$B,$B59,'Leave Records'!$D:$D,Config!$E$8,'Leave Records'!$K:$K,"Approved")))</f>
        <v/>
      </c>
      <c r="J59" s="20" t="str">
        <f>IF($B59="","",IF(Config!$E$8="",0,SUMIFS('Leave Records'!$I:$I,'Leave Records'!$B:$B,$B59,'Leave Records'!$D:$D,Config!$E$8,'Leave Records'!$K:$K,"Pending")))</f>
        <v/>
      </c>
      <c r="K59" s="8" t="str">
        <f t="shared" si="2"/>
        <v/>
      </c>
      <c r="L59" s="19" t="str">
        <f>IF($B59="","",IFERROR(Config!$F$9,0))</f>
        <v/>
      </c>
      <c r="M59" s="10" t="str">
        <f>IF($B59="","",IF(Config!$E$9="",0,SUMIFS('Leave Records'!$I:$I,'Leave Records'!$B:$B,$B59,'Leave Records'!$D:$D,Config!$E$9,'Leave Records'!$K:$K,"Approved")))</f>
        <v/>
      </c>
      <c r="N59" s="20" t="str">
        <f>IF($B59="","",IF(Config!$E$9="",0,SUMIFS('Leave Records'!$I:$I,'Leave Records'!$B:$B,$B59,'Leave Records'!$D:$D,Config!$E$9,'Leave Records'!$K:$K,"Pending")))</f>
        <v/>
      </c>
      <c r="O59" s="8" t="str">
        <f t="shared" si="3"/>
        <v/>
      </c>
      <c r="P59" s="19" t="str">
        <f>IF($B59="","",IFERROR(Config!$F$10,0))</f>
        <v/>
      </c>
      <c r="Q59" s="10" t="str">
        <f>IF($B59="","",IF(Config!$E$10="",0,SUMIFS('Leave Records'!$I:$I,'Leave Records'!$B:$B,$B59,'Leave Records'!$D:$D,Config!$E$10,'Leave Records'!$K:$K,"Approved")))</f>
        <v/>
      </c>
      <c r="R59" s="20" t="str">
        <f>IF($B59="","",IF(Config!$E$10="",0,SUMIFS('Leave Records'!$I:$I,'Leave Records'!$B:$B,$B59,'Leave Records'!$D:$D,Config!$E$10,'Leave Records'!$K:$K,"Pending")))</f>
        <v/>
      </c>
      <c r="S59" s="8" t="str">
        <f t="shared" si="4"/>
        <v/>
      </c>
      <c r="T59" s="19" t="str">
        <f>IF($B59="","",IFERROR(Config!$F$11,0))</f>
        <v/>
      </c>
      <c r="U59" s="10" t="str">
        <f>IF($B59="","",IF(Config!$E$11="",0,SUMIFS('Leave Records'!$I:$I,'Leave Records'!$B:$B,$B59,'Leave Records'!$D:$D,Config!$E$11,'Leave Records'!$K:$K,"Approved")))</f>
        <v/>
      </c>
      <c r="V59" s="20" t="str">
        <f>IF($B59="","",IF(Config!$E$11="",0,SUMIFS('Leave Records'!$I:$I,'Leave Records'!$B:$B,$B59,'Leave Records'!$D:$D,Config!$E$11,'Leave Records'!$K:$K,"Pending")))</f>
        <v/>
      </c>
      <c r="W59" s="8" t="str">
        <f t="shared" si="5"/>
        <v/>
      </c>
      <c r="X59" s="11" t="str">
        <f t="shared" si="6"/>
        <v/>
      </c>
    </row>
    <row r="60" ht="17" customHeight="1" spans="1:24">
      <c r="A60" s="5" t="str">
        <f t="shared" si="0"/>
        <v/>
      </c>
      <c r="B60" s="12" t="str">
        <f>IF(Config!$B$62="","",Config!$B$62)</f>
        <v/>
      </c>
      <c r="C60" s="13" t="str">
        <f>IF(Config!$B$62="","",Config!$C$62)</f>
        <v/>
      </c>
      <c r="D60" s="19" t="str">
        <f>IF($B60="","",IFERROR(Config!$F$7,0))</f>
        <v/>
      </c>
      <c r="E60" s="21" t="str">
        <f>IF($B60="","",IF(Config!$E$7="",0,SUMIFS('Leave Records'!$I:$I,'Leave Records'!$B:$B,$B60,'Leave Records'!$D:$D,Config!$E$7,'Leave Records'!$K:$K,"Approved")))</f>
        <v/>
      </c>
      <c r="F60" s="22" t="str">
        <f>IF($B60="","",IF(Config!$E$7="",0,SUMIFS('Leave Records'!$I:$I,'Leave Records'!$B:$B,$B60,'Leave Records'!$D:$D,Config!$E$7,'Leave Records'!$K:$K,"Pending")))</f>
        <v/>
      </c>
      <c r="G60" s="9" t="str">
        <f t="shared" si="1"/>
        <v/>
      </c>
      <c r="H60" s="19" t="str">
        <f>IF($B60="","",IFERROR(Config!$F$8,0))</f>
        <v/>
      </c>
      <c r="I60" s="21" t="str">
        <f>IF($B60="","",IF(Config!$E$8="",0,SUMIFS('Leave Records'!$I:$I,'Leave Records'!$B:$B,$B60,'Leave Records'!$D:$D,Config!$E$8,'Leave Records'!$K:$K,"Approved")))</f>
        <v/>
      </c>
      <c r="J60" s="22" t="str">
        <f>IF($B60="","",IF(Config!$E$8="",0,SUMIFS('Leave Records'!$I:$I,'Leave Records'!$B:$B,$B60,'Leave Records'!$D:$D,Config!$E$8,'Leave Records'!$K:$K,"Pending")))</f>
        <v/>
      </c>
      <c r="K60" s="9" t="str">
        <f t="shared" si="2"/>
        <v/>
      </c>
      <c r="L60" s="19" t="str">
        <f>IF($B60="","",IFERROR(Config!$F$9,0))</f>
        <v/>
      </c>
      <c r="M60" s="21" t="str">
        <f>IF($B60="","",IF(Config!$E$9="",0,SUMIFS('Leave Records'!$I:$I,'Leave Records'!$B:$B,$B60,'Leave Records'!$D:$D,Config!$E$9,'Leave Records'!$K:$K,"Approved")))</f>
        <v/>
      </c>
      <c r="N60" s="22" t="str">
        <f>IF($B60="","",IF(Config!$E$9="",0,SUMIFS('Leave Records'!$I:$I,'Leave Records'!$B:$B,$B60,'Leave Records'!$D:$D,Config!$E$9,'Leave Records'!$K:$K,"Pending")))</f>
        <v/>
      </c>
      <c r="O60" s="9" t="str">
        <f t="shared" si="3"/>
        <v/>
      </c>
      <c r="P60" s="19" t="str">
        <f>IF($B60="","",IFERROR(Config!$F$10,0))</f>
        <v/>
      </c>
      <c r="Q60" s="21" t="str">
        <f>IF($B60="","",IF(Config!$E$10="",0,SUMIFS('Leave Records'!$I:$I,'Leave Records'!$B:$B,$B60,'Leave Records'!$D:$D,Config!$E$10,'Leave Records'!$K:$K,"Approved")))</f>
        <v/>
      </c>
      <c r="R60" s="22" t="str">
        <f>IF($B60="","",IF(Config!$E$10="",0,SUMIFS('Leave Records'!$I:$I,'Leave Records'!$B:$B,$B60,'Leave Records'!$D:$D,Config!$E$10,'Leave Records'!$K:$K,"Pending")))</f>
        <v/>
      </c>
      <c r="S60" s="9" t="str">
        <f t="shared" si="4"/>
        <v/>
      </c>
      <c r="T60" s="19" t="str">
        <f>IF($B60="","",IFERROR(Config!$F$11,0))</f>
        <v/>
      </c>
      <c r="U60" s="21" t="str">
        <f>IF($B60="","",IF(Config!$E$11="",0,SUMIFS('Leave Records'!$I:$I,'Leave Records'!$B:$B,$B60,'Leave Records'!$D:$D,Config!$E$11,'Leave Records'!$K:$K,"Approved")))</f>
        <v/>
      </c>
      <c r="V60" s="22" t="str">
        <f>IF($B60="","",IF(Config!$E$11="",0,SUMIFS('Leave Records'!$I:$I,'Leave Records'!$B:$B,$B60,'Leave Records'!$D:$D,Config!$E$11,'Leave Records'!$K:$K,"Pending")))</f>
        <v/>
      </c>
      <c r="W60" s="9" t="str">
        <f t="shared" si="5"/>
        <v/>
      </c>
      <c r="X60" s="14" t="str">
        <f t="shared" si="6"/>
        <v/>
      </c>
    </row>
    <row r="61" ht="17" customHeight="1" spans="1:24">
      <c r="A61" s="5" t="str">
        <f t="shared" si="0"/>
        <v/>
      </c>
      <c r="B61" s="6" t="str">
        <f>IF(Config!$B$63="","",Config!$B$63)</f>
        <v/>
      </c>
      <c r="C61" s="7" t="str">
        <f>IF(Config!$B$63="","",Config!$C$63)</f>
        <v/>
      </c>
      <c r="D61" s="19" t="str">
        <f>IF($B61="","",IFERROR(Config!$F$7,0))</f>
        <v/>
      </c>
      <c r="E61" s="10" t="str">
        <f>IF($B61="","",IF(Config!$E$7="",0,SUMIFS('Leave Records'!$I:$I,'Leave Records'!$B:$B,$B61,'Leave Records'!$D:$D,Config!$E$7,'Leave Records'!$K:$K,"Approved")))</f>
        <v/>
      </c>
      <c r="F61" s="20" t="str">
        <f>IF($B61="","",IF(Config!$E$7="",0,SUMIFS('Leave Records'!$I:$I,'Leave Records'!$B:$B,$B61,'Leave Records'!$D:$D,Config!$E$7,'Leave Records'!$K:$K,"Pending")))</f>
        <v/>
      </c>
      <c r="G61" s="8" t="str">
        <f t="shared" si="1"/>
        <v/>
      </c>
      <c r="H61" s="19" t="str">
        <f>IF($B61="","",IFERROR(Config!$F$8,0))</f>
        <v/>
      </c>
      <c r="I61" s="10" t="str">
        <f>IF($B61="","",IF(Config!$E$8="",0,SUMIFS('Leave Records'!$I:$I,'Leave Records'!$B:$B,$B61,'Leave Records'!$D:$D,Config!$E$8,'Leave Records'!$K:$K,"Approved")))</f>
        <v/>
      </c>
      <c r="J61" s="20" t="str">
        <f>IF($B61="","",IF(Config!$E$8="",0,SUMIFS('Leave Records'!$I:$I,'Leave Records'!$B:$B,$B61,'Leave Records'!$D:$D,Config!$E$8,'Leave Records'!$K:$K,"Pending")))</f>
        <v/>
      </c>
      <c r="K61" s="8" t="str">
        <f t="shared" si="2"/>
        <v/>
      </c>
      <c r="L61" s="19" t="str">
        <f>IF($B61="","",IFERROR(Config!$F$9,0))</f>
        <v/>
      </c>
      <c r="M61" s="10" t="str">
        <f>IF($B61="","",IF(Config!$E$9="",0,SUMIFS('Leave Records'!$I:$I,'Leave Records'!$B:$B,$B61,'Leave Records'!$D:$D,Config!$E$9,'Leave Records'!$K:$K,"Approved")))</f>
        <v/>
      </c>
      <c r="N61" s="20" t="str">
        <f>IF($B61="","",IF(Config!$E$9="",0,SUMIFS('Leave Records'!$I:$I,'Leave Records'!$B:$B,$B61,'Leave Records'!$D:$D,Config!$E$9,'Leave Records'!$K:$K,"Pending")))</f>
        <v/>
      </c>
      <c r="O61" s="8" t="str">
        <f t="shared" si="3"/>
        <v/>
      </c>
      <c r="P61" s="19" t="str">
        <f>IF($B61="","",IFERROR(Config!$F$10,0))</f>
        <v/>
      </c>
      <c r="Q61" s="10" t="str">
        <f>IF($B61="","",IF(Config!$E$10="",0,SUMIFS('Leave Records'!$I:$I,'Leave Records'!$B:$B,$B61,'Leave Records'!$D:$D,Config!$E$10,'Leave Records'!$K:$K,"Approved")))</f>
        <v/>
      </c>
      <c r="R61" s="20" t="str">
        <f>IF($B61="","",IF(Config!$E$10="",0,SUMIFS('Leave Records'!$I:$I,'Leave Records'!$B:$B,$B61,'Leave Records'!$D:$D,Config!$E$10,'Leave Records'!$K:$K,"Pending")))</f>
        <v/>
      </c>
      <c r="S61" s="8" t="str">
        <f t="shared" si="4"/>
        <v/>
      </c>
      <c r="T61" s="19" t="str">
        <f>IF($B61="","",IFERROR(Config!$F$11,0))</f>
        <v/>
      </c>
      <c r="U61" s="10" t="str">
        <f>IF($B61="","",IF(Config!$E$11="",0,SUMIFS('Leave Records'!$I:$I,'Leave Records'!$B:$B,$B61,'Leave Records'!$D:$D,Config!$E$11,'Leave Records'!$K:$K,"Approved")))</f>
        <v/>
      </c>
      <c r="V61" s="20" t="str">
        <f>IF($B61="","",IF(Config!$E$11="",0,SUMIFS('Leave Records'!$I:$I,'Leave Records'!$B:$B,$B61,'Leave Records'!$D:$D,Config!$E$11,'Leave Records'!$K:$K,"Pending")))</f>
        <v/>
      </c>
      <c r="W61" s="8" t="str">
        <f t="shared" si="5"/>
        <v/>
      </c>
      <c r="X61" s="11" t="str">
        <f t="shared" si="6"/>
        <v/>
      </c>
    </row>
    <row r="62" ht="17" customHeight="1" spans="1:24">
      <c r="A62" s="5" t="str">
        <f t="shared" si="0"/>
        <v/>
      </c>
      <c r="B62" s="12" t="str">
        <f>IF(Config!$B$64="","",Config!$B$64)</f>
        <v/>
      </c>
      <c r="C62" s="13" t="str">
        <f>IF(Config!$B$64="","",Config!$C$64)</f>
        <v/>
      </c>
      <c r="D62" s="19" t="str">
        <f>IF($B62="","",IFERROR(Config!$F$7,0))</f>
        <v/>
      </c>
      <c r="E62" s="21" t="str">
        <f>IF($B62="","",IF(Config!$E$7="",0,SUMIFS('Leave Records'!$I:$I,'Leave Records'!$B:$B,$B62,'Leave Records'!$D:$D,Config!$E$7,'Leave Records'!$K:$K,"Approved")))</f>
        <v/>
      </c>
      <c r="F62" s="22" t="str">
        <f>IF($B62="","",IF(Config!$E$7="",0,SUMIFS('Leave Records'!$I:$I,'Leave Records'!$B:$B,$B62,'Leave Records'!$D:$D,Config!$E$7,'Leave Records'!$K:$K,"Pending")))</f>
        <v/>
      </c>
      <c r="G62" s="9" t="str">
        <f t="shared" si="1"/>
        <v/>
      </c>
      <c r="H62" s="19" t="str">
        <f>IF($B62="","",IFERROR(Config!$F$8,0))</f>
        <v/>
      </c>
      <c r="I62" s="21" t="str">
        <f>IF($B62="","",IF(Config!$E$8="",0,SUMIFS('Leave Records'!$I:$I,'Leave Records'!$B:$B,$B62,'Leave Records'!$D:$D,Config!$E$8,'Leave Records'!$K:$K,"Approved")))</f>
        <v/>
      </c>
      <c r="J62" s="22" t="str">
        <f>IF($B62="","",IF(Config!$E$8="",0,SUMIFS('Leave Records'!$I:$I,'Leave Records'!$B:$B,$B62,'Leave Records'!$D:$D,Config!$E$8,'Leave Records'!$K:$K,"Pending")))</f>
        <v/>
      </c>
      <c r="K62" s="9" t="str">
        <f t="shared" si="2"/>
        <v/>
      </c>
      <c r="L62" s="19" t="str">
        <f>IF($B62="","",IFERROR(Config!$F$9,0))</f>
        <v/>
      </c>
      <c r="M62" s="21" t="str">
        <f>IF($B62="","",IF(Config!$E$9="",0,SUMIFS('Leave Records'!$I:$I,'Leave Records'!$B:$B,$B62,'Leave Records'!$D:$D,Config!$E$9,'Leave Records'!$K:$K,"Approved")))</f>
        <v/>
      </c>
      <c r="N62" s="22" t="str">
        <f>IF($B62="","",IF(Config!$E$9="",0,SUMIFS('Leave Records'!$I:$I,'Leave Records'!$B:$B,$B62,'Leave Records'!$D:$D,Config!$E$9,'Leave Records'!$K:$K,"Pending")))</f>
        <v/>
      </c>
      <c r="O62" s="9" t="str">
        <f t="shared" si="3"/>
        <v/>
      </c>
      <c r="P62" s="19" t="str">
        <f>IF($B62="","",IFERROR(Config!$F$10,0))</f>
        <v/>
      </c>
      <c r="Q62" s="21" t="str">
        <f>IF($B62="","",IF(Config!$E$10="",0,SUMIFS('Leave Records'!$I:$I,'Leave Records'!$B:$B,$B62,'Leave Records'!$D:$D,Config!$E$10,'Leave Records'!$K:$K,"Approved")))</f>
        <v/>
      </c>
      <c r="R62" s="22" t="str">
        <f>IF($B62="","",IF(Config!$E$10="",0,SUMIFS('Leave Records'!$I:$I,'Leave Records'!$B:$B,$B62,'Leave Records'!$D:$D,Config!$E$10,'Leave Records'!$K:$K,"Pending")))</f>
        <v/>
      </c>
      <c r="S62" s="9" t="str">
        <f t="shared" si="4"/>
        <v/>
      </c>
      <c r="T62" s="19" t="str">
        <f>IF($B62="","",IFERROR(Config!$F$11,0))</f>
        <v/>
      </c>
      <c r="U62" s="21" t="str">
        <f>IF($B62="","",IF(Config!$E$11="",0,SUMIFS('Leave Records'!$I:$I,'Leave Records'!$B:$B,$B62,'Leave Records'!$D:$D,Config!$E$11,'Leave Records'!$K:$K,"Approved")))</f>
        <v/>
      </c>
      <c r="V62" s="22" t="str">
        <f>IF($B62="","",IF(Config!$E$11="",0,SUMIFS('Leave Records'!$I:$I,'Leave Records'!$B:$B,$B62,'Leave Records'!$D:$D,Config!$E$11,'Leave Records'!$K:$K,"Pending")))</f>
        <v/>
      </c>
      <c r="W62" s="9" t="str">
        <f t="shared" si="5"/>
        <v/>
      </c>
      <c r="X62" s="14" t="str">
        <f t="shared" si="6"/>
        <v/>
      </c>
    </row>
    <row r="63" ht="17" customHeight="1" spans="1:24">
      <c r="A63" s="5" t="str">
        <f t="shared" si="0"/>
        <v/>
      </c>
      <c r="B63" s="6" t="str">
        <f>IF(Config!$B$65="","",Config!$B$65)</f>
        <v/>
      </c>
      <c r="C63" s="7" t="str">
        <f>IF(Config!$B$65="","",Config!$C$65)</f>
        <v/>
      </c>
      <c r="D63" s="19" t="str">
        <f>IF($B63="","",IFERROR(Config!$F$7,0))</f>
        <v/>
      </c>
      <c r="E63" s="10" t="str">
        <f>IF($B63="","",IF(Config!$E$7="",0,SUMIFS('Leave Records'!$I:$I,'Leave Records'!$B:$B,$B63,'Leave Records'!$D:$D,Config!$E$7,'Leave Records'!$K:$K,"Approved")))</f>
        <v/>
      </c>
      <c r="F63" s="20" t="str">
        <f>IF($B63="","",IF(Config!$E$7="",0,SUMIFS('Leave Records'!$I:$I,'Leave Records'!$B:$B,$B63,'Leave Records'!$D:$D,Config!$E$7,'Leave Records'!$K:$K,"Pending")))</f>
        <v/>
      </c>
      <c r="G63" s="8" t="str">
        <f t="shared" si="1"/>
        <v/>
      </c>
      <c r="H63" s="19" t="str">
        <f>IF($B63="","",IFERROR(Config!$F$8,0))</f>
        <v/>
      </c>
      <c r="I63" s="10" t="str">
        <f>IF($B63="","",IF(Config!$E$8="",0,SUMIFS('Leave Records'!$I:$I,'Leave Records'!$B:$B,$B63,'Leave Records'!$D:$D,Config!$E$8,'Leave Records'!$K:$K,"Approved")))</f>
        <v/>
      </c>
      <c r="J63" s="20" t="str">
        <f>IF($B63="","",IF(Config!$E$8="",0,SUMIFS('Leave Records'!$I:$I,'Leave Records'!$B:$B,$B63,'Leave Records'!$D:$D,Config!$E$8,'Leave Records'!$K:$K,"Pending")))</f>
        <v/>
      </c>
      <c r="K63" s="8" t="str">
        <f t="shared" si="2"/>
        <v/>
      </c>
      <c r="L63" s="19" t="str">
        <f>IF($B63="","",IFERROR(Config!$F$9,0))</f>
        <v/>
      </c>
      <c r="M63" s="10" t="str">
        <f>IF($B63="","",IF(Config!$E$9="",0,SUMIFS('Leave Records'!$I:$I,'Leave Records'!$B:$B,$B63,'Leave Records'!$D:$D,Config!$E$9,'Leave Records'!$K:$K,"Approved")))</f>
        <v/>
      </c>
      <c r="N63" s="20" t="str">
        <f>IF($B63="","",IF(Config!$E$9="",0,SUMIFS('Leave Records'!$I:$I,'Leave Records'!$B:$B,$B63,'Leave Records'!$D:$D,Config!$E$9,'Leave Records'!$K:$K,"Pending")))</f>
        <v/>
      </c>
      <c r="O63" s="8" t="str">
        <f t="shared" si="3"/>
        <v/>
      </c>
      <c r="P63" s="19" t="str">
        <f>IF($B63="","",IFERROR(Config!$F$10,0))</f>
        <v/>
      </c>
      <c r="Q63" s="10" t="str">
        <f>IF($B63="","",IF(Config!$E$10="",0,SUMIFS('Leave Records'!$I:$I,'Leave Records'!$B:$B,$B63,'Leave Records'!$D:$D,Config!$E$10,'Leave Records'!$K:$K,"Approved")))</f>
        <v/>
      </c>
      <c r="R63" s="20" t="str">
        <f>IF($B63="","",IF(Config!$E$10="",0,SUMIFS('Leave Records'!$I:$I,'Leave Records'!$B:$B,$B63,'Leave Records'!$D:$D,Config!$E$10,'Leave Records'!$K:$K,"Pending")))</f>
        <v/>
      </c>
      <c r="S63" s="8" t="str">
        <f t="shared" si="4"/>
        <v/>
      </c>
      <c r="T63" s="19" t="str">
        <f>IF($B63="","",IFERROR(Config!$F$11,0))</f>
        <v/>
      </c>
      <c r="U63" s="10" t="str">
        <f>IF($B63="","",IF(Config!$E$11="",0,SUMIFS('Leave Records'!$I:$I,'Leave Records'!$B:$B,$B63,'Leave Records'!$D:$D,Config!$E$11,'Leave Records'!$K:$K,"Approved")))</f>
        <v/>
      </c>
      <c r="V63" s="20" t="str">
        <f>IF($B63="","",IF(Config!$E$11="",0,SUMIFS('Leave Records'!$I:$I,'Leave Records'!$B:$B,$B63,'Leave Records'!$D:$D,Config!$E$11,'Leave Records'!$K:$K,"Pending")))</f>
        <v/>
      </c>
      <c r="W63" s="8" t="str">
        <f t="shared" si="5"/>
        <v/>
      </c>
      <c r="X63" s="11" t="str">
        <f t="shared" si="6"/>
        <v/>
      </c>
    </row>
    <row r="64" ht="17" customHeight="1" spans="1:24">
      <c r="A64" s="5" t="str">
        <f t="shared" si="0"/>
        <v/>
      </c>
      <c r="B64" s="12" t="str">
        <f>IF(Config!$B$66="","",Config!$B$66)</f>
        <v/>
      </c>
      <c r="C64" s="13" t="str">
        <f>IF(Config!$B$66="","",Config!$C$66)</f>
        <v/>
      </c>
      <c r="D64" s="19" t="str">
        <f>IF($B64="","",IFERROR(Config!$F$7,0))</f>
        <v/>
      </c>
      <c r="E64" s="21" t="str">
        <f>IF($B64="","",IF(Config!$E$7="",0,SUMIFS('Leave Records'!$I:$I,'Leave Records'!$B:$B,$B64,'Leave Records'!$D:$D,Config!$E$7,'Leave Records'!$K:$K,"Approved")))</f>
        <v/>
      </c>
      <c r="F64" s="22" t="str">
        <f>IF($B64="","",IF(Config!$E$7="",0,SUMIFS('Leave Records'!$I:$I,'Leave Records'!$B:$B,$B64,'Leave Records'!$D:$D,Config!$E$7,'Leave Records'!$K:$K,"Pending")))</f>
        <v/>
      </c>
      <c r="G64" s="9" t="str">
        <f t="shared" si="1"/>
        <v/>
      </c>
      <c r="H64" s="19" t="str">
        <f>IF($B64="","",IFERROR(Config!$F$8,0))</f>
        <v/>
      </c>
      <c r="I64" s="21" t="str">
        <f>IF($B64="","",IF(Config!$E$8="",0,SUMIFS('Leave Records'!$I:$I,'Leave Records'!$B:$B,$B64,'Leave Records'!$D:$D,Config!$E$8,'Leave Records'!$K:$K,"Approved")))</f>
        <v/>
      </c>
      <c r="J64" s="22" t="str">
        <f>IF($B64="","",IF(Config!$E$8="",0,SUMIFS('Leave Records'!$I:$I,'Leave Records'!$B:$B,$B64,'Leave Records'!$D:$D,Config!$E$8,'Leave Records'!$K:$K,"Pending")))</f>
        <v/>
      </c>
      <c r="K64" s="9" t="str">
        <f t="shared" si="2"/>
        <v/>
      </c>
      <c r="L64" s="19" t="str">
        <f>IF($B64="","",IFERROR(Config!$F$9,0))</f>
        <v/>
      </c>
      <c r="M64" s="21" t="str">
        <f>IF($B64="","",IF(Config!$E$9="",0,SUMIFS('Leave Records'!$I:$I,'Leave Records'!$B:$B,$B64,'Leave Records'!$D:$D,Config!$E$9,'Leave Records'!$K:$K,"Approved")))</f>
        <v/>
      </c>
      <c r="N64" s="22" t="str">
        <f>IF($B64="","",IF(Config!$E$9="",0,SUMIFS('Leave Records'!$I:$I,'Leave Records'!$B:$B,$B64,'Leave Records'!$D:$D,Config!$E$9,'Leave Records'!$K:$K,"Pending")))</f>
        <v/>
      </c>
      <c r="O64" s="9" t="str">
        <f t="shared" si="3"/>
        <v/>
      </c>
      <c r="P64" s="19" t="str">
        <f>IF($B64="","",IFERROR(Config!$F$10,0))</f>
        <v/>
      </c>
      <c r="Q64" s="21" t="str">
        <f>IF($B64="","",IF(Config!$E$10="",0,SUMIFS('Leave Records'!$I:$I,'Leave Records'!$B:$B,$B64,'Leave Records'!$D:$D,Config!$E$10,'Leave Records'!$K:$K,"Approved")))</f>
        <v/>
      </c>
      <c r="R64" s="22" t="str">
        <f>IF($B64="","",IF(Config!$E$10="",0,SUMIFS('Leave Records'!$I:$I,'Leave Records'!$B:$B,$B64,'Leave Records'!$D:$D,Config!$E$10,'Leave Records'!$K:$K,"Pending")))</f>
        <v/>
      </c>
      <c r="S64" s="9" t="str">
        <f t="shared" si="4"/>
        <v/>
      </c>
      <c r="T64" s="19" t="str">
        <f>IF($B64="","",IFERROR(Config!$F$11,0))</f>
        <v/>
      </c>
      <c r="U64" s="21" t="str">
        <f>IF($B64="","",IF(Config!$E$11="",0,SUMIFS('Leave Records'!$I:$I,'Leave Records'!$B:$B,$B64,'Leave Records'!$D:$D,Config!$E$11,'Leave Records'!$K:$K,"Approved")))</f>
        <v/>
      </c>
      <c r="V64" s="22" t="str">
        <f>IF($B64="","",IF(Config!$E$11="",0,SUMIFS('Leave Records'!$I:$I,'Leave Records'!$B:$B,$B64,'Leave Records'!$D:$D,Config!$E$11,'Leave Records'!$K:$K,"Pending")))</f>
        <v/>
      </c>
      <c r="W64" s="9" t="str">
        <f t="shared" si="5"/>
        <v/>
      </c>
      <c r="X64" s="14" t="str">
        <f t="shared" si="6"/>
        <v/>
      </c>
    </row>
    <row r="65" ht="17" customHeight="1" spans="1:24">
      <c r="A65" s="5" t="str">
        <f t="shared" si="0"/>
        <v/>
      </c>
      <c r="B65" s="6" t="str">
        <f>IF(Config!$B$67="","",Config!$B$67)</f>
        <v/>
      </c>
      <c r="C65" s="7" t="str">
        <f>IF(Config!$B$67="","",Config!$C$67)</f>
        <v/>
      </c>
      <c r="D65" s="19" t="str">
        <f>IF($B65="","",IFERROR(Config!$F$7,0))</f>
        <v/>
      </c>
      <c r="E65" s="10" t="str">
        <f>IF($B65="","",IF(Config!$E$7="",0,SUMIFS('Leave Records'!$I:$I,'Leave Records'!$B:$B,$B65,'Leave Records'!$D:$D,Config!$E$7,'Leave Records'!$K:$K,"Approved")))</f>
        <v/>
      </c>
      <c r="F65" s="20" t="str">
        <f>IF($B65="","",IF(Config!$E$7="",0,SUMIFS('Leave Records'!$I:$I,'Leave Records'!$B:$B,$B65,'Leave Records'!$D:$D,Config!$E$7,'Leave Records'!$K:$K,"Pending")))</f>
        <v/>
      </c>
      <c r="G65" s="8" t="str">
        <f t="shared" si="1"/>
        <v/>
      </c>
      <c r="H65" s="19" t="str">
        <f>IF($B65="","",IFERROR(Config!$F$8,0))</f>
        <v/>
      </c>
      <c r="I65" s="10" t="str">
        <f>IF($B65="","",IF(Config!$E$8="",0,SUMIFS('Leave Records'!$I:$I,'Leave Records'!$B:$B,$B65,'Leave Records'!$D:$D,Config!$E$8,'Leave Records'!$K:$K,"Approved")))</f>
        <v/>
      </c>
      <c r="J65" s="20" t="str">
        <f>IF($B65="","",IF(Config!$E$8="",0,SUMIFS('Leave Records'!$I:$I,'Leave Records'!$B:$B,$B65,'Leave Records'!$D:$D,Config!$E$8,'Leave Records'!$K:$K,"Pending")))</f>
        <v/>
      </c>
      <c r="K65" s="8" t="str">
        <f t="shared" si="2"/>
        <v/>
      </c>
      <c r="L65" s="19" t="str">
        <f>IF($B65="","",IFERROR(Config!$F$9,0))</f>
        <v/>
      </c>
      <c r="M65" s="10" t="str">
        <f>IF($B65="","",IF(Config!$E$9="",0,SUMIFS('Leave Records'!$I:$I,'Leave Records'!$B:$B,$B65,'Leave Records'!$D:$D,Config!$E$9,'Leave Records'!$K:$K,"Approved")))</f>
        <v/>
      </c>
      <c r="N65" s="20" t="str">
        <f>IF($B65="","",IF(Config!$E$9="",0,SUMIFS('Leave Records'!$I:$I,'Leave Records'!$B:$B,$B65,'Leave Records'!$D:$D,Config!$E$9,'Leave Records'!$K:$K,"Pending")))</f>
        <v/>
      </c>
      <c r="O65" s="8" t="str">
        <f t="shared" si="3"/>
        <v/>
      </c>
      <c r="P65" s="19" t="str">
        <f>IF($B65="","",IFERROR(Config!$F$10,0))</f>
        <v/>
      </c>
      <c r="Q65" s="10" t="str">
        <f>IF($B65="","",IF(Config!$E$10="",0,SUMIFS('Leave Records'!$I:$I,'Leave Records'!$B:$B,$B65,'Leave Records'!$D:$D,Config!$E$10,'Leave Records'!$K:$K,"Approved")))</f>
        <v/>
      </c>
      <c r="R65" s="20" t="str">
        <f>IF($B65="","",IF(Config!$E$10="",0,SUMIFS('Leave Records'!$I:$I,'Leave Records'!$B:$B,$B65,'Leave Records'!$D:$D,Config!$E$10,'Leave Records'!$K:$K,"Pending")))</f>
        <v/>
      </c>
      <c r="S65" s="8" t="str">
        <f t="shared" si="4"/>
        <v/>
      </c>
      <c r="T65" s="19" t="str">
        <f>IF($B65="","",IFERROR(Config!$F$11,0))</f>
        <v/>
      </c>
      <c r="U65" s="10" t="str">
        <f>IF($B65="","",IF(Config!$E$11="",0,SUMIFS('Leave Records'!$I:$I,'Leave Records'!$B:$B,$B65,'Leave Records'!$D:$D,Config!$E$11,'Leave Records'!$K:$K,"Approved")))</f>
        <v/>
      </c>
      <c r="V65" s="20" t="str">
        <f>IF($B65="","",IF(Config!$E$11="",0,SUMIFS('Leave Records'!$I:$I,'Leave Records'!$B:$B,$B65,'Leave Records'!$D:$D,Config!$E$11,'Leave Records'!$K:$K,"Pending")))</f>
        <v/>
      </c>
      <c r="W65" s="8" t="str">
        <f t="shared" si="5"/>
        <v/>
      </c>
      <c r="X65" s="11" t="str">
        <f t="shared" si="6"/>
        <v/>
      </c>
    </row>
    <row r="66" ht="17" customHeight="1" spans="1:24">
      <c r="A66" s="5" t="str">
        <f t="shared" si="0"/>
        <v/>
      </c>
      <c r="B66" s="12" t="str">
        <f>IF(Config!$B$68="","",Config!$B$68)</f>
        <v/>
      </c>
      <c r="C66" s="13" t="str">
        <f>IF(Config!$B$68="","",Config!$C$68)</f>
        <v/>
      </c>
      <c r="D66" s="19" t="str">
        <f>IF($B66="","",IFERROR(Config!$F$7,0))</f>
        <v/>
      </c>
      <c r="E66" s="21" t="str">
        <f>IF($B66="","",IF(Config!$E$7="",0,SUMIFS('Leave Records'!$I:$I,'Leave Records'!$B:$B,$B66,'Leave Records'!$D:$D,Config!$E$7,'Leave Records'!$K:$K,"Approved")))</f>
        <v/>
      </c>
      <c r="F66" s="22" t="str">
        <f>IF($B66="","",IF(Config!$E$7="",0,SUMIFS('Leave Records'!$I:$I,'Leave Records'!$B:$B,$B66,'Leave Records'!$D:$D,Config!$E$7,'Leave Records'!$K:$K,"Pending")))</f>
        <v/>
      </c>
      <c r="G66" s="9" t="str">
        <f t="shared" si="1"/>
        <v/>
      </c>
      <c r="H66" s="19" t="str">
        <f>IF($B66="","",IFERROR(Config!$F$8,0))</f>
        <v/>
      </c>
      <c r="I66" s="21" t="str">
        <f>IF($B66="","",IF(Config!$E$8="",0,SUMIFS('Leave Records'!$I:$I,'Leave Records'!$B:$B,$B66,'Leave Records'!$D:$D,Config!$E$8,'Leave Records'!$K:$K,"Approved")))</f>
        <v/>
      </c>
      <c r="J66" s="22" t="str">
        <f>IF($B66="","",IF(Config!$E$8="",0,SUMIFS('Leave Records'!$I:$I,'Leave Records'!$B:$B,$B66,'Leave Records'!$D:$D,Config!$E$8,'Leave Records'!$K:$K,"Pending")))</f>
        <v/>
      </c>
      <c r="K66" s="9" t="str">
        <f t="shared" si="2"/>
        <v/>
      </c>
      <c r="L66" s="19" t="str">
        <f>IF($B66="","",IFERROR(Config!$F$9,0))</f>
        <v/>
      </c>
      <c r="M66" s="21" t="str">
        <f>IF($B66="","",IF(Config!$E$9="",0,SUMIFS('Leave Records'!$I:$I,'Leave Records'!$B:$B,$B66,'Leave Records'!$D:$D,Config!$E$9,'Leave Records'!$K:$K,"Approved")))</f>
        <v/>
      </c>
      <c r="N66" s="22" t="str">
        <f>IF($B66="","",IF(Config!$E$9="",0,SUMIFS('Leave Records'!$I:$I,'Leave Records'!$B:$B,$B66,'Leave Records'!$D:$D,Config!$E$9,'Leave Records'!$K:$K,"Pending")))</f>
        <v/>
      </c>
      <c r="O66" s="9" t="str">
        <f t="shared" si="3"/>
        <v/>
      </c>
      <c r="P66" s="19" t="str">
        <f>IF($B66="","",IFERROR(Config!$F$10,0))</f>
        <v/>
      </c>
      <c r="Q66" s="21" t="str">
        <f>IF($B66="","",IF(Config!$E$10="",0,SUMIFS('Leave Records'!$I:$I,'Leave Records'!$B:$B,$B66,'Leave Records'!$D:$D,Config!$E$10,'Leave Records'!$K:$K,"Approved")))</f>
        <v/>
      </c>
      <c r="R66" s="22" t="str">
        <f>IF($B66="","",IF(Config!$E$10="",0,SUMIFS('Leave Records'!$I:$I,'Leave Records'!$B:$B,$B66,'Leave Records'!$D:$D,Config!$E$10,'Leave Records'!$K:$K,"Pending")))</f>
        <v/>
      </c>
      <c r="S66" s="9" t="str">
        <f t="shared" si="4"/>
        <v/>
      </c>
      <c r="T66" s="19" t="str">
        <f>IF($B66="","",IFERROR(Config!$F$11,0))</f>
        <v/>
      </c>
      <c r="U66" s="21" t="str">
        <f>IF($B66="","",IF(Config!$E$11="",0,SUMIFS('Leave Records'!$I:$I,'Leave Records'!$B:$B,$B66,'Leave Records'!$D:$D,Config!$E$11,'Leave Records'!$K:$K,"Approved")))</f>
        <v/>
      </c>
      <c r="V66" s="22" t="str">
        <f>IF($B66="","",IF(Config!$E$11="",0,SUMIFS('Leave Records'!$I:$I,'Leave Records'!$B:$B,$B66,'Leave Records'!$D:$D,Config!$E$11,'Leave Records'!$K:$K,"Pending")))</f>
        <v/>
      </c>
      <c r="W66" s="9" t="str">
        <f t="shared" si="5"/>
        <v/>
      </c>
      <c r="X66" s="14" t="str">
        <f t="shared" si="6"/>
        <v/>
      </c>
    </row>
    <row r="67" ht="17" customHeight="1" spans="1:24">
      <c r="A67" s="5" t="str">
        <f t="shared" si="0"/>
        <v/>
      </c>
      <c r="B67" s="6" t="str">
        <f>IF(Config!$B$69="","",Config!$B$69)</f>
        <v/>
      </c>
      <c r="C67" s="7" t="str">
        <f>IF(Config!$B$69="","",Config!$C$69)</f>
        <v/>
      </c>
      <c r="D67" s="19" t="str">
        <f>IF($B67="","",IFERROR(Config!$F$7,0))</f>
        <v/>
      </c>
      <c r="E67" s="10" t="str">
        <f>IF($B67="","",IF(Config!$E$7="",0,SUMIFS('Leave Records'!$I:$I,'Leave Records'!$B:$B,$B67,'Leave Records'!$D:$D,Config!$E$7,'Leave Records'!$K:$K,"Approved")))</f>
        <v/>
      </c>
      <c r="F67" s="20" t="str">
        <f>IF($B67="","",IF(Config!$E$7="",0,SUMIFS('Leave Records'!$I:$I,'Leave Records'!$B:$B,$B67,'Leave Records'!$D:$D,Config!$E$7,'Leave Records'!$K:$K,"Pending")))</f>
        <v/>
      </c>
      <c r="G67" s="8" t="str">
        <f t="shared" si="1"/>
        <v/>
      </c>
      <c r="H67" s="19" t="str">
        <f>IF($B67="","",IFERROR(Config!$F$8,0))</f>
        <v/>
      </c>
      <c r="I67" s="10" t="str">
        <f>IF($B67="","",IF(Config!$E$8="",0,SUMIFS('Leave Records'!$I:$I,'Leave Records'!$B:$B,$B67,'Leave Records'!$D:$D,Config!$E$8,'Leave Records'!$K:$K,"Approved")))</f>
        <v/>
      </c>
      <c r="J67" s="20" t="str">
        <f>IF($B67="","",IF(Config!$E$8="",0,SUMIFS('Leave Records'!$I:$I,'Leave Records'!$B:$B,$B67,'Leave Records'!$D:$D,Config!$E$8,'Leave Records'!$K:$K,"Pending")))</f>
        <v/>
      </c>
      <c r="K67" s="8" t="str">
        <f t="shared" si="2"/>
        <v/>
      </c>
      <c r="L67" s="19" t="str">
        <f>IF($B67="","",IFERROR(Config!$F$9,0))</f>
        <v/>
      </c>
      <c r="M67" s="10" t="str">
        <f>IF($B67="","",IF(Config!$E$9="",0,SUMIFS('Leave Records'!$I:$I,'Leave Records'!$B:$B,$B67,'Leave Records'!$D:$D,Config!$E$9,'Leave Records'!$K:$K,"Approved")))</f>
        <v/>
      </c>
      <c r="N67" s="20" t="str">
        <f>IF($B67="","",IF(Config!$E$9="",0,SUMIFS('Leave Records'!$I:$I,'Leave Records'!$B:$B,$B67,'Leave Records'!$D:$D,Config!$E$9,'Leave Records'!$K:$K,"Pending")))</f>
        <v/>
      </c>
      <c r="O67" s="8" t="str">
        <f t="shared" si="3"/>
        <v/>
      </c>
      <c r="P67" s="19" t="str">
        <f>IF($B67="","",IFERROR(Config!$F$10,0))</f>
        <v/>
      </c>
      <c r="Q67" s="10" t="str">
        <f>IF($B67="","",IF(Config!$E$10="",0,SUMIFS('Leave Records'!$I:$I,'Leave Records'!$B:$B,$B67,'Leave Records'!$D:$D,Config!$E$10,'Leave Records'!$K:$K,"Approved")))</f>
        <v/>
      </c>
      <c r="R67" s="20" t="str">
        <f>IF($B67="","",IF(Config!$E$10="",0,SUMIFS('Leave Records'!$I:$I,'Leave Records'!$B:$B,$B67,'Leave Records'!$D:$D,Config!$E$10,'Leave Records'!$K:$K,"Pending")))</f>
        <v/>
      </c>
      <c r="S67" s="8" t="str">
        <f t="shared" si="4"/>
        <v/>
      </c>
      <c r="T67" s="19" t="str">
        <f>IF($B67="","",IFERROR(Config!$F$11,0))</f>
        <v/>
      </c>
      <c r="U67" s="10" t="str">
        <f>IF($B67="","",IF(Config!$E$11="",0,SUMIFS('Leave Records'!$I:$I,'Leave Records'!$B:$B,$B67,'Leave Records'!$D:$D,Config!$E$11,'Leave Records'!$K:$K,"Approved")))</f>
        <v/>
      </c>
      <c r="V67" s="20" t="str">
        <f>IF($B67="","",IF(Config!$E$11="",0,SUMIFS('Leave Records'!$I:$I,'Leave Records'!$B:$B,$B67,'Leave Records'!$D:$D,Config!$E$11,'Leave Records'!$K:$K,"Pending")))</f>
        <v/>
      </c>
      <c r="W67" s="8" t="str">
        <f t="shared" si="5"/>
        <v/>
      </c>
      <c r="X67" s="11" t="str">
        <f t="shared" si="6"/>
        <v/>
      </c>
    </row>
    <row r="68" ht="17" customHeight="1" spans="1:24">
      <c r="A68" s="5" t="str">
        <f t="shared" si="0"/>
        <v/>
      </c>
      <c r="B68" s="12" t="str">
        <f>IF(Config!$B$70="","",Config!$B$70)</f>
        <v/>
      </c>
      <c r="C68" s="13" t="str">
        <f>IF(Config!$B$70="","",Config!$C$70)</f>
        <v/>
      </c>
      <c r="D68" s="19" t="str">
        <f>IF($B68="","",IFERROR(Config!$F$7,0))</f>
        <v/>
      </c>
      <c r="E68" s="21" t="str">
        <f>IF($B68="","",IF(Config!$E$7="",0,SUMIFS('Leave Records'!$I:$I,'Leave Records'!$B:$B,$B68,'Leave Records'!$D:$D,Config!$E$7,'Leave Records'!$K:$K,"Approved")))</f>
        <v/>
      </c>
      <c r="F68" s="22" t="str">
        <f>IF($B68="","",IF(Config!$E$7="",0,SUMIFS('Leave Records'!$I:$I,'Leave Records'!$B:$B,$B68,'Leave Records'!$D:$D,Config!$E$7,'Leave Records'!$K:$K,"Pending")))</f>
        <v/>
      </c>
      <c r="G68" s="9" t="str">
        <f t="shared" si="1"/>
        <v/>
      </c>
      <c r="H68" s="19" t="str">
        <f>IF($B68="","",IFERROR(Config!$F$8,0))</f>
        <v/>
      </c>
      <c r="I68" s="21" t="str">
        <f>IF($B68="","",IF(Config!$E$8="",0,SUMIFS('Leave Records'!$I:$I,'Leave Records'!$B:$B,$B68,'Leave Records'!$D:$D,Config!$E$8,'Leave Records'!$K:$K,"Approved")))</f>
        <v/>
      </c>
      <c r="J68" s="22" t="str">
        <f>IF($B68="","",IF(Config!$E$8="",0,SUMIFS('Leave Records'!$I:$I,'Leave Records'!$B:$B,$B68,'Leave Records'!$D:$D,Config!$E$8,'Leave Records'!$K:$K,"Pending")))</f>
        <v/>
      </c>
      <c r="K68" s="9" t="str">
        <f t="shared" si="2"/>
        <v/>
      </c>
      <c r="L68" s="19" t="str">
        <f>IF($B68="","",IFERROR(Config!$F$9,0))</f>
        <v/>
      </c>
      <c r="M68" s="21" t="str">
        <f>IF($B68="","",IF(Config!$E$9="",0,SUMIFS('Leave Records'!$I:$I,'Leave Records'!$B:$B,$B68,'Leave Records'!$D:$D,Config!$E$9,'Leave Records'!$K:$K,"Approved")))</f>
        <v/>
      </c>
      <c r="N68" s="22" t="str">
        <f>IF($B68="","",IF(Config!$E$9="",0,SUMIFS('Leave Records'!$I:$I,'Leave Records'!$B:$B,$B68,'Leave Records'!$D:$D,Config!$E$9,'Leave Records'!$K:$K,"Pending")))</f>
        <v/>
      </c>
      <c r="O68" s="9" t="str">
        <f t="shared" si="3"/>
        <v/>
      </c>
      <c r="P68" s="19" t="str">
        <f>IF($B68="","",IFERROR(Config!$F$10,0))</f>
        <v/>
      </c>
      <c r="Q68" s="21" t="str">
        <f>IF($B68="","",IF(Config!$E$10="",0,SUMIFS('Leave Records'!$I:$I,'Leave Records'!$B:$B,$B68,'Leave Records'!$D:$D,Config!$E$10,'Leave Records'!$K:$K,"Approved")))</f>
        <v/>
      </c>
      <c r="R68" s="22" t="str">
        <f>IF($B68="","",IF(Config!$E$10="",0,SUMIFS('Leave Records'!$I:$I,'Leave Records'!$B:$B,$B68,'Leave Records'!$D:$D,Config!$E$10,'Leave Records'!$K:$K,"Pending")))</f>
        <v/>
      </c>
      <c r="S68" s="9" t="str">
        <f t="shared" si="4"/>
        <v/>
      </c>
      <c r="T68" s="19" t="str">
        <f>IF($B68="","",IFERROR(Config!$F$11,0))</f>
        <v/>
      </c>
      <c r="U68" s="21" t="str">
        <f>IF($B68="","",IF(Config!$E$11="",0,SUMIFS('Leave Records'!$I:$I,'Leave Records'!$B:$B,$B68,'Leave Records'!$D:$D,Config!$E$11,'Leave Records'!$K:$K,"Approved")))</f>
        <v/>
      </c>
      <c r="V68" s="22" t="str">
        <f>IF($B68="","",IF(Config!$E$11="",0,SUMIFS('Leave Records'!$I:$I,'Leave Records'!$B:$B,$B68,'Leave Records'!$D:$D,Config!$E$11,'Leave Records'!$K:$K,"Pending")))</f>
        <v/>
      </c>
      <c r="W68" s="9" t="str">
        <f t="shared" si="5"/>
        <v/>
      </c>
      <c r="X68" s="14" t="str">
        <f t="shared" si="6"/>
        <v/>
      </c>
    </row>
    <row r="69" ht="17" customHeight="1" spans="1:24">
      <c r="A69" s="5" t="str">
        <f t="shared" ref="A69:A104" si="7">IF(B69="","",ROW()-4)</f>
        <v/>
      </c>
      <c r="B69" s="6" t="str">
        <f>IF(Config!$B$71="","",Config!$B$71)</f>
        <v/>
      </c>
      <c r="C69" s="7" t="str">
        <f>IF(Config!$B$71="","",Config!$C$71)</f>
        <v/>
      </c>
      <c r="D69" s="19" t="str">
        <f>IF($B69="","",IFERROR(Config!$F$7,0))</f>
        <v/>
      </c>
      <c r="E69" s="10" t="str">
        <f>IF($B69="","",IF(Config!$E$7="",0,SUMIFS('Leave Records'!$I:$I,'Leave Records'!$B:$B,$B69,'Leave Records'!$D:$D,Config!$E$7,'Leave Records'!$K:$K,"Approved")))</f>
        <v/>
      </c>
      <c r="F69" s="20" t="str">
        <f>IF($B69="","",IF(Config!$E$7="",0,SUMIFS('Leave Records'!$I:$I,'Leave Records'!$B:$B,$B69,'Leave Records'!$D:$D,Config!$E$7,'Leave Records'!$K:$K,"Pending")))</f>
        <v/>
      </c>
      <c r="G69" s="8" t="str">
        <f t="shared" ref="G69:G104" si="8">IF($B69="","",D69-E69)</f>
        <v/>
      </c>
      <c r="H69" s="19" t="str">
        <f>IF($B69="","",IFERROR(Config!$F$8,0))</f>
        <v/>
      </c>
      <c r="I69" s="10" t="str">
        <f>IF($B69="","",IF(Config!$E$8="",0,SUMIFS('Leave Records'!$I:$I,'Leave Records'!$B:$B,$B69,'Leave Records'!$D:$D,Config!$E$8,'Leave Records'!$K:$K,"Approved")))</f>
        <v/>
      </c>
      <c r="J69" s="20" t="str">
        <f>IF($B69="","",IF(Config!$E$8="",0,SUMIFS('Leave Records'!$I:$I,'Leave Records'!$B:$B,$B69,'Leave Records'!$D:$D,Config!$E$8,'Leave Records'!$K:$K,"Pending")))</f>
        <v/>
      </c>
      <c r="K69" s="8" t="str">
        <f t="shared" ref="K69:K104" si="9">IF($B69="","",H69-I69)</f>
        <v/>
      </c>
      <c r="L69" s="19" t="str">
        <f>IF($B69="","",IFERROR(Config!$F$9,0))</f>
        <v/>
      </c>
      <c r="M69" s="10" t="str">
        <f>IF($B69="","",IF(Config!$E$9="",0,SUMIFS('Leave Records'!$I:$I,'Leave Records'!$B:$B,$B69,'Leave Records'!$D:$D,Config!$E$9,'Leave Records'!$K:$K,"Approved")))</f>
        <v/>
      </c>
      <c r="N69" s="20" t="str">
        <f>IF($B69="","",IF(Config!$E$9="",0,SUMIFS('Leave Records'!$I:$I,'Leave Records'!$B:$B,$B69,'Leave Records'!$D:$D,Config!$E$9,'Leave Records'!$K:$K,"Pending")))</f>
        <v/>
      </c>
      <c r="O69" s="8" t="str">
        <f t="shared" ref="O69:O104" si="10">IF($B69="","",L69-M69)</f>
        <v/>
      </c>
      <c r="P69" s="19" t="str">
        <f>IF($B69="","",IFERROR(Config!$F$10,0))</f>
        <v/>
      </c>
      <c r="Q69" s="10" t="str">
        <f>IF($B69="","",IF(Config!$E$10="",0,SUMIFS('Leave Records'!$I:$I,'Leave Records'!$B:$B,$B69,'Leave Records'!$D:$D,Config!$E$10,'Leave Records'!$K:$K,"Approved")))</f>
        <v/>
      </c>
      <c r="R69" s="20" t="str">
        <f>IF($B69="","",IF(Config!$E$10="",0,SUMIFS('Leave Records'!$I:$I,'Leave Records'!$B:$B,$B69,'Leave Records'!$D:$D,Config!$E$10,'Leave Records'!$K:$K,"Pending")))</f>
        <v/>
      </c>
      <c r="S69" s="8" t="str">
        <f t="shared" ref="S69:S104" si="11">IF($B69="","",P69-Q69)</f>
        <v/>
      </c>
      <c r="T69" s="19" t="str">
        <f>IF($B69="","",IFERROR(Config!$F$11,0))</f>
        <v/>
      </c>
      <c r="U69" s="10" t="str">
        <f>IF($B69="","",IF(Config!$E$11="",0,SUMIFS('Leave Records'!$I:$I,'Leave Records'!$B:$B,$B69,'Leave Records'!$D:$D,Config!$E$11,'Leave Records'!$K:$K,"Approved")))</f>
        <v/>
      </c>
      <c r="V69" s="20" t="str">
        <f>IF($B69="","",IF(Config!$E$11="",0,SUMIFS('Leave Records'!$I:$I,'Leave Records'!$B:$B,$B69,'Leave Records'!$D:$D,Config!$E$11,'Leave Records'!$K:$K,"Pending")))</f>
        <v/>
      </c>
      <c r="W69" s="8" t="str">
        <f t="shared" ref="W69:W104" si="12">IF($B69="","",T69-U69)</f>
        <v/>
      </c>
      <c r="X69" s="11" t="str">
        <f t="shared" ref="X69:X104" si="13">IF($B69="","",E69+I69+M69+Q69+U69)</f>
        <v/>
      </c>
    </row>
    <row r="70" ht="17" customHeight="1" spans="1:24">
      <c r="A70" s="5" t="str">
        <f t="shared" si="7"/>
        <v/>
      </c>
      <c r="B70" s="12" t="str">
        <f>IF(Config!$B$72="","",Config!$B$72)</f>
        <v/>
      </c>
      <c r="C70" s="13" t="str">
        <f>IF(Config!$B$72="","",Config!$C$72)</f>
        <v/>
      </c>
      <c r="D70" s="19" t="str">
        <f>IF($B70="","",IFERROR(Config!$F$7,0))</f>
        <v/>
      </c>
      <c r="E70" s="21" t="str">
        <f>IF($B70="","",IF(Config!$E$7="",0,SUMIFS('Leave Records'!$I:$I,'Leave Records'!$B:$B,$B70,'Leave Records'!$D:$D,Config!$E$7,'Leave Records'!$K:$K,"Approved")))</f>
        <v/>
      </c>
      <c r="F70" s="22" t="str">
        <f>IF($B70="","",IF(Config!$E$7="",0,SUMIFS('Leave Records'!$I:$I,'Leave Records'!$B:$B,$B70,'Leave Records'!$D:$D,Config!$E$7,'Leave Records'!$K:$K,"Pending")))</f>
        <v/>
      </c>
      <c r="G70" s="9" t="str">
        <f t="shared" si="8"/>
        <v/>
      </c>
      <c r="H70" s="19" t="str">
        <f>IF($B70="","",IFERROR(Config!$F$8,0))</f>
        <v/>
      </c>
      <c r="I70" s="21" t="str">
        <f>IF($B70="","",IF(Config!$E$8="",0,SUMIFS('Leave Records'!$I:$I,'Leave Records'!$B:$B,$B70,'Leave Records'!$D:$D,Config!$E$8,'Leave Records'!$K:$K,"Approved")))</f>
        <v/>
      </c>
      <c r="J70" s="22" t="str">
        <f>IF($B70="","",IF(Config!$E$8="",0,SUMIFS('Leave Records'!$I:$I,'Leave Records'!$B:$B,$B70,'Leave Records'!$D:$D,Config!$E$8,'Leave Records'!$K:$K,"Pending")))</f>
        <v/>
      </c>
      <c r="K70" s="9" t="str">
        <f t="shared" si="9"/>
        <v/>
      </c>
      <c r="L70" s="19" t="str">
        <f>IF($B70="","",IFERROR(Config!$F$9,0))</f>
        <v/>
      </c>
      <c r="M70" s="21" t="str">
        <f>IF($B70="","",IF(Config!$E$9="",0,SUMIFS('Leave Records'!$I:$I,'Leave Records'!$B:$B,$B70,'Leave Records'!$D:$D,Config!$E$9,'Leave Records'!$K:$K,"Approved")))</f>
        <v/>
      </c>
      <c r="N70" s="22" t="str">
        <f>IF($B70="","",IF(Config!$E$9="",0,SUMIFS('Leave Records'!$I:$I,'Leave Records'!$B:$B,$B70,'Leave Records'!$D:$D,Config!$E$9,'Leave Records'!$K:$K,"Pending")))</f>
        <v/>
      </c>
      <c r="O70" s="9" t="str">
        <f t="shared" si="10"/>
        <v/>
      </c>
      <c r="P70" s="19" t="str">
        <f>IF($B70="","",IFERROR(Config!$F$10,0))</f>
        <v/>
      </c>
      <c r="Q70" s="21" t="str">
        <f>IF($B70="","",IF(Config!$E$10="",0,SUMIFS('Leave Records'!$I:$I,'Leave Records'!$B:$B,$B70,'Leave Records'!$D:$D,Config!$E$10,'Leave Records'!$K:$K,"Approved")))</f>
        <v/>
      </c>
      <c r="R70" s="22" t="str">
        <f>IF($B70="","",IF(Config!$E$10="",0,SUMIFS('Leave Records'!$I:$I,'Leave Records'!$B:$B,$B70,'Leave Records'!$D:$D,Config!$E$10,'Leave Records'!$K:$K,"Pending")))</f>
        <v/>
      </c>
      <c r="S70" s="9" t="str">
        <f t="shared" si="11"/>
        <v/>
      </c>
      <c r="T70" s="19" t="str">
        <f>IF($B70="","",IFERROR(Config!$F$11,0))</f>
        <v/>
      </c>
      <c r="U70" s="21" t="str">
        <f>IF($B70="","",IF(Config!$E$11="",0,SUMIFS('Leave Records'!$I:$I,'Leave Records'!$B:$B,$B70,'Leave Records'!$D:$D,Config!$E$11,'Leave Records'!$K:$K,"Approved")))</f>
        <v/>
      </c>
      <c r="V70" s="22" t="str">
        <f>IF($B70="","",IF(Config!$E$11="",0,SUMIFS('Leave Records'!$I:$I,'Leave Records'!$B:$B,$B70,'Leave Records'!$D:$D,Config!$E$11,'Leave Records'!$K:$K,"Pending")))</f>
        <v/>
      </c>
      <c r="W70" s="9" t="str">
        <f t="shared" si="12"/>
        <v/>
      </c>
      <c r="X70" s="14" t="str">
        <f t="shared" si="13"/>
        <v/>
      </c>
    </row>
    <row r="71" ht="17" customHeight="1" spans="1:24">
      <c r="A71" s="5" t="str">
        <f t="shared" si="7"/>
        <v/>
      </c>
      <c r="B71" s="6" t="str">
        <f>IF(Config!$B$73="","",Config!$B$73)</f>
        <v/>
      </c>
      <c r="C71" s="7" t="str">
        <f>IF(Config!$B$73="","",Config!$C$73)</f>
        <v/>
      </c>
      <c r="D71" s="19" t="str">
        <f>IF($B71="","",IFERROR(Config!$F$7,0))</f>
        <v/>
      </c>
      <c r="E71" s="10" t="str">
        <f>IF($B71="","",IF(Config!$E$7="",0,SUMIFS('Leave Records'!$I:$I,'Leave Records'!$B:$B,$B71,'Leave Records'!$D:$D,Config!$E$7,'Leave Records'!$K:$K,"Approved")))</f>
        <v/>
      </c>
      <c r="F71" s="20" t="str">
        <f>IF($B71="","",IF(Config!$E$7="",0,SUMIFS('Leave Records'!$I:$I,'Leave Records'!$B:$B,$B71,'Leave Records'!$D:$D,Config!$E$7,'Leave Records'!$K:$K,"Pending")))</f>
        <v/>
      </c>
      <c r="G71" s="8" t="str">
        <f t="shared" si="8"/>
        <v/>
      </c>
      <c r="H71" s="19" t="str">
        <f>IF($B71="","",IFERROR(Config!$F$8,0))</f>
        <v/>
      </c>
      <c r="I71" s="10" t="str">
        <f>IF($B71="","",IF(Config!$E$8="",0,SUMIFS('Leave Records'!$I:$I,'Leave Records'!$B:$B,$B71,'Leave Records'!$D:$D,Config!$E$8,'Leave Records'!$K:$K,"Approved")))</f>
        <v/>
      </c>
      <c r="J71" s="20" t="str">
        <f>IF($B71="","",IF(Config!$E$8="",0,SUMIFS('Leave Records'!$I:$I,'Leave Records'!$B:$B,$B71,'Leave Records'!$D:$D,Config!$E$8,'Leave Records'!$K:$K,"Pending")))</f>
        <v/>
      </c>
      <c r="K71" s="8" t="str">
        <f t="shared" si="9"/>
        <v/>
      </c>
      <c r="L71" s="19" t="str">
        <f>IF($B71="","",IFERROR(Config!$F$9,0))</f>
        <v/>
      </c>
      <c r="M71" s="10" t="str">
        <f>IF($B71="","",IF(Config!$E$9="",0,SUMIFS('Leave Records'!$I:$I,'Leave Records'!$B:$B,$B71,'Leave Records'!$D:$D,Config!$E$9,'Leave Records'!$K:$K,"Approved")))</f>
        <v/>
      </c>
      <c r="N71" s="20" t="str">
        <f>IF($B71="","",IF(Config!$E$9="",0,SUMIFS('Leave Records'!$I:$I,'Leave Records'!$B:$B,$B71,'Leave Records'!$D:$D,Config!$E$9,'Leave Records'!$K:$K,"Pending")))</f>
        <v/>
      </c>
      <c r="O71" s="8" t="str">
        <f t="shared" si="10"/>
        <v/>
      </c>
      <c r="P71" s="19" t="str">
        <f>IF($B71="","",IFERROR(Config!$F$10,0))</f>
        <v/>
      </c>
      <c r="Q71" s="10" t="str">
        <f>IF($B71="","",IF(Config!$E$10="",0,SUMIFS('Leave Records'!$I:$I,'Leave Records'!$B:$B,$B71,'Leave Records'!$D:$D,Config!$E$10,'Leave Records'!$K:$K,"Approved")))</f>
        <v/>
      </c>
      <c r="R71" s="20" t="str">
        <f>IF($B71="","",IF(Config!$E$10="",0,SUMIFS('Leave Records'!$I:$I,'Leave Records'!$B:$B,$B71,'Leave Records'!$D:$D,Config!$E$10,'Leave Records'!$K:$K,"Pending")))</f>
        <v/>
      </c>
      <c r="S71" s="8" t="str">
        <f t="shared" si="11"/>
        <v/>
      </c>
      <c r="T71" s="19" t="str">
        <f>IF($B71="","",IFERROR(Config!$F$11,0))</f>
        <v/>
      </c>
      <c r="U71" s="10" t="str">
        <f>IF($B71="","",IF(Config!$E$11="",0,SUMIFS('Leave Records'!$I:$I,'Leave Records'!$B:$B,$B71,'Leave Records'!$D:$D,Config!$E$11,'Leave Records'!$K:$K,"Approved")))</f>
        <v/>
      </c>
      <c r="V71" s="20" t="str">
        <f>IF($B71="","",IF(Config!$E$11="",0,SUMIFS('Leave Records'!$I:$I,'Leave Records'!$B:$B,$B71,'Leave Records'!$D:$D,Config!$E$11,'Leave Records'!$K:$K,"Pending")))</f>
        <v/>
      </c>
      <c r="W71" s="8" t="str">
        <f t="shared" si="12"/>
        <v/>
      </c>
      <c r="X71" s="11" t="str">
        <f t="shared" si="13"/>
        <v/>
      </c>
    </row>
    <row r="72" ht="17" customHeight="1" spans="1:24">
      <c r="A72" s="5" t="str">
        <f t="shared" si="7"/>
        <v/>
      </c>
      <c r="B72" s="12" t="str">
        <f>IF(Config!$B$74="","",Config!$B$74)</f>
        <v/>
      </c>
      <c r="C72" s="13" t="str">
        <f>IF(Config!$B$74="","",Config!$C$74)</f>
        <v/>
      </c>
      <c r="D72" s="19" t="str">
        <f>IF($B72="","",IFERROR(Config!$F$7,0))</f>
        <v/>
      </c>
      <c r="E72" s="21" t="str">
        <f>IF($B72="","",IF(Config!$E$7="",0,SUMIFS('Leave Records'!$I:$I,'Leave Records'!$B:$B,$B72,'Leave Records'!$D:$D,Config!$E$7,'Leave Records'!$K:$K,"Approved")))</f>
        <v/>
      </c>
      <c r="F72" s="22" t="str">
        <f>IF($B72="","",IF(Config!$E$7="",0,SUMIFS('Leave Records'!$I:$I,'Leave Records'!$B:$B,$B72,'Leave Records'!$D:$D,Config!$E$7,'Leave Records'!$K:$K,"Pending")))</f>
        <v/>
      </c>
      <c r="G72" s="9" t="str">
        <f t="shared" si="8"/>
        <v/>
      </c>
      <c r="H72" s="19" t="str">
        <f>IF($B72="","",IFERROR(Config!$F$8,0))</f>
        <v/>
      </c>
      <c r="I72" s="21" t="str">
        <f>IF($B72="","",IF(Config!$E$8="",0,SUMIFS('Leave Records'!$I:$I,'Leave Records'!$B:$B,$B72,'Leave Records'!$D:$D,Config!$E$8,'Leave Records'!$K:$K,"Approved")))</f>
        <v/>
      </c>
      <c r="J72" s="22" t="str">
        <f>IF($B72="","",IF(Config!$E$8="",0,SUMIFS('Leave Records'!$I:$I,'Leave Records'!$B:$B,$B72,'Leave Records'!$D:$D,Config!$E$8,'Leave Records'!$K:$K,"Pending")))</f>
        <v/>
      </c>
      <c r="K72" s="9" t="str">
        <f t="shared" si="9"/>
        <v/>
      </c>
      <c r="L72" s="19" t="str">
        <f>IF($B72="","",IFERROR(Config!$F$9,0))</f>
        <v/>
      </c>
      <c r="M72" s="21" t="str">
        <f>IF($B72="","",IF(Config!$E$9="",0,SUMIFS('Leave Records'!$I:$I,'Leave Records'!$B:$B,$B72,'Leave Records'!$D:$D,Config!$E$9,'Leave Records'!$K:$K,"Approved")))</f>
        <v/>
      </c>
      <c r="N72" s="22" t="str">
        <f>IF($B72="","",IF(Config!$E$9="",0,SUMIFS('Leave Records'!$I:$I,'Leave Records'!$B:$B,$B72,'Leave Records'!$D:$D,Config!$E$9,'Leave Records'!$K:$K,"Pending")))</f>
        <v/>
      </c>
      <c r="O72" s="9" t="str">
        <f t="shared" si="10"/>
        <v/>
      </c>
      <c r="P72" s="19" t="str">
        <f>IF($B72="","",IFERROR(Config!$F$10,0))</f>
        <v/>
      </c>
      <c r="Q72" s="21" t="str">
        <f>IF($B72="","",IF(Config!$E$10="",0,SUMIFS('Leave Records'!$I:$I,'Leave Records'!$B:$B,$B72,'Leave Records'!$D:$D,Config!$E$10,'Leave Records'!$K:$K,"Approved")))</f>
        <v/>
      </c>
      <c r="R72" s="22" t="str">
        <f>IF($B72="","",IF(Config!$E$10="",0,SUMIFS('Leave Records'!$I:$I,'Leave Records'!$B:$B,$B72,'Leave Records'!$D:$D,Config!$E$10,'Leave Records'!$K:$K,"Pending")))</f>
        <v/>
      </c>
      <c r="S72" s="9" t="str">
        <f t="shared" si="11"/>
        <v/>
      </c>
      <c r="T72" s="19" t="str">
        <f>IF($B72="","",IFERROR(Config!$F$11,0))</f>
        <v/>
      </c>
      <c r="U72" s="21" t="str">
        <f>IF($B72="","",IF(Config!$E$11="",0,SUMIFS('Leave Records'!$I:$I,'Leave Records'!$B:$B,$B72,'Leave Records'!$D:$D,Config!$E$11,'Leave Records'!$K:$K,"Approved")))</f>
        <v/>
      </c>
      <c r="V72" s="22" t="str">
        <f>IF($B72="","",IF(Config!$E$11="",0,SUMIFS('Leave Records'!$I:$I,'Leave Records'!$B:$B,$B72,'Leave Records'!$D:$D,Config!$E$11,'Leave Records'!$K:$K,"Pending")))</f>
        <v/>
      </c>
      <c r="W72" s="9" t="str">
        <f t="shared" si="12"/>
        <v/>
      </c>
      <c r="X72" s="14" t="str">
        <f t="shared" si="13"/>
        <v/>
      </c>
    </row>
    <row r="73" ht="17" customHeight="1" spans="1:24">
      <c r="A73" s="5" t="str">
        <f t="shared" si="7"/>
        <v/>
      </c>
      <c r="B73" s="6" t="str">
        <f>IF(Config!$B$75="","",Config!$B$75)</f>
        <v/>
      </c>
      <c r="C73" s="7" t="str">
        <f>IF(Config!$B$75="","",Config!$C$75)</f>
        <v/>
      </c>
      <c r="D73" s="19" t="str">
        <f>IF($B73="","",IFERROR(Config!$F$7,0))</f>
        <v/>
      </c>
      <c r="E73" s="10" t="str">
        <f>IF($B73="","",IF(Config!$E$7="",0,SUMIFS('Leave Records'!$I:$I,'Leave Records'!$B:$B,$B73,'Leave Records'!$D:$D,Config!$E$7,'Leave Records'!$K:$K,"Approved")))</f>
        <v/>
      </c>
      <c r="F73" s="20" t="str">
        <f>IF($B73="","",IF(Config!$E$7="",0,SUMIFS('Leave Records'!$I:$I,'Leave Records'!$B:$B,$B73,'Leave Records'!$D:$D,Config!$E$7,'Leave Records'!$K:$K,"Pending")))</f>
        <v/>
      </c>
      <c r="G73" s="8" t="str">
        <f t="shared" si="8"/>
        <v/>
      </c>
      <c r="H73" s="19" t="str">
        <f>IF($B73="","",IFERROR(Config!$F$8,0))</f>
        <v/>
      </c>
      <c r="I73" s="10" t="str">
        <f>IF($B73="","",IF(Config!$E$8="",0,SUMIFS('Leave Records'!$I:$I,'Leave Records'!$B:$B,$B73,'Leave Records'!$D:$D,Config!$E$8,'Leave Records'!$K:$K,"Approved")))</f>
        <v/>
      </c>
      <c r="J73" s="20" t="str">
        <f>IF($B73="","",IF(Config!$E$8="",0,SUMIFS('Leave Records'!$I:$I,'Leave Records'!$B:$B,$B73,'Leave Records'!$D:$D,Config!$E$8,'Leave Records'!$K:$K,"Pending")))</f>
        <v/>
      </c>
      <c r="K73" s="8" t="str">
        <f t="shared" si="9"/>
        <v/>
      </c>
      <c r="L73" s="19" t="str">
        <f>IF($B73="","",IFERROR(Config!$F$9,0))</f>
        <v/>
      </c>
      <c r="M73" s="10" t="str">
        <f>IF($B73="","",IF(Config!$E$9="",0,SUMIFS('Leave Records'!$I:$I,'Leave Records'!$B:$B,$B73,'Leave Records'!$D:$D,Config!$E$9,'Leave Records'!$K:$K,"Approved")))</f>
        <v/>
      </c>
      <c r="N73" s="20" t="str">
        <f>IF($B73="","",IF(Config!$E$9="",0,SUMIFS('Leave Records'!$I:$I,'Leave Records'!$B:$B,$B73,'Leave Records'!$D:$D,Config!$E$9,'Leave Records'!$K:$K,"Pending")))</f>
        <v/>
      </c>
      <c r="O73" s="8" t="str">
        <f t="shared" si="10"/>
        <v/>
      </c>
      <c r="P73" s="19" t="str">
        <f>IF($B73="","",IFERROR(Config!$F$10,0))</f>
        <v/>
      </c>
      <c r="Q73" s="10" t="str">
        <f>IF($B73="","",IF(Config!$E$10="",0,SUMIFS('Leave Records'!$I:$I,'Leave Records'!$B:$B,$B73,'Leave Records'!$D:$D,Config!$E$10,'Leave Records'!$K:$K,"Approved")))</f>
        <v/>
      </c>
      <c r="R73" s="20" t="str">
        <f>IF($B73="","",IF(Config!$E$10="",0,SUMIFS('Leave Records'!$I:$I,'Leave Records'!$B:$B,$B73,'Leave Records'!$D:$D,Config!$E$10,'Leave Records'!$K:$K,"Pending")))</f>
        <v/>
      </c>
      <c r="S73" s="8" t="str">
        <f t="shared" si="11"/>
        <v/>
      </c>
      <c r="T73" s="19" t="str">
        <f>IF($B73="","",IFERROR(Config!$F$11,0))</f>
        <v/>
      </c>
      <c r="U73" s="10" t="str">
        <f>IF($B73="","",IF(Config!$E$11="",0,SUMIFS('Leave Records'!$I:$I,'Leave Records'!$B:$B,$B73,'Leave Records'!$D:$D,Config!$E$11,'Leave Records'!$K:$K,"Approved")))</f>
        <v/>
      </c>
      <c r="V73" s="20" t="str">
        <f>IF($B73="","",IF(Config!$E$11="",0,SUMIFS('Leave Records'!$I:$I,'Leave Records'!$B:$B,$B73,'Leave Records'!$D:$D,Config!$E$11,'Leave Records'!$K:$K,"Pending")))</f>
        <v/>
      </c>
      <c r="W73" s="8" t="str">
        <f t="shared" si="12"/>
        <v/>
      </c>
      <c r="X73" s="11" t="str">
        <f t="shared" si="13"/>
        <v/>
      </c>
    </row>
    <row r="74" ht="17" customHeight="1" spans="1:24">
      <c r="A74" s="5" t="str">
        <f t="shared" si="7"/>
        <v/>
      </c>
      <c r="B74" s="12" t="str">
        <f>IF(Config!$B$76="","",Config!$B$76)</f>
        <v/>
      </c>
      <c r="C74" s="13" t="str">
        <f>IF(Config!$B$76="","",Config!$C$76)</f>
        <v/>
      </c>
      <c r="D74" s="19" t="str">
        <f>IF($B74="","",IFERROR(Config!$F$7,0))</f>
        <v/>
      </c>
      <c r="E74" s="21" t="str">
        <f>IF($B74="","",IF(Config!$E$7="",0,SUMIFS('Leave Records'!$I:$I,'Leave Records'!$B:$B,$B74,'Leave Records'!$D:$D,Config!$E$7,'Leave Records'!$K:$K,"Approved")))</f>
        <v/>
      </c>
      <c r="F74" s="22" t="str">
        <f>IF($B74="","",IF(Config!$E$7="",0,SUMIFS('Leave Records'!$I:$I,'Leave Records'!$B:$B,$B74,'Leave Records'!$D:$D,Config!$E$7,'Leave Records'!$K:$K,"Pending")))</f>
        <v/>
      </c>
      <c r="G74" s="9" t="str">
        <f t="shared" si="8"/>
        <v/>
      </c>
      <c r="H74" s="19" t="str">
        <f>IF($B74="","",IFERROR(Config!$F$8,0))</f>
        <v/>
      </c>
      <c r="I74" s="21" t="str">
        <f>IF($B74="","",IF(Config!$E$8="",0,SUMIFS('Leave Records'!$I:$I,'Leave Records'!$B:$B,$B74,'Leave Records'!$D:$D,Config!$E$8,'Leave Records'!$K:$K,"Approved")))</f>
        <v/>
      </c>
      <c r="J74" s="22" t="str">
        <f>IF($B74="","",IF(Config!$E$8="",0,SUMIFS('Leave Records'!$I:$I,'Leave Records'!$B:$B,$B74,'Leave Records'!$D:$D,Config!$E$8,'Leave Records'!$K:$K,"Pending")))</f>
        <v/>
      </c>
      <c r="K74" s="9" t="str">
        <f t="shared" si="9"/>
        <v/>
      </c>
      <c r="L74" s="19" t="str">
        <f>IF($B74="","",IFERROR(Config!$F$9,0))</f>
        <v/>
      </c>
      <c r="M74" s="21" t="str">
        <f>IF($B74="","",IF(Config!$E$9="",0,SUMIFS('Leave Records'!$I:$I,'Leave Records'!$B:$B,$B74,'Leave Records'!$D:$D,Config!$E$9,'Leave Records'!$K:$K,"Approved")))</f>
        <v/>
      </c>
      <c r="N74" s="22" t="str">
        <f>IF($B74="","",IF(Config!$E$9="",0,SUMIFS('Leave Records'!$I:$I,'Leave Records'!$B:$B,$B74,'Leave Records'!$D:$D,Config!$E$9,'Leave Records'!$K:$K,"Pending")))</f>
        <v/>
      </c>
      <c r="O74" s="9" t="str">
        <f t="shared" si="10"/>
        <v/>
      </c>
      <c r="P74" s="19" t="str">
        <f>IF($B74="","",IFERROR(Config!$F$10,0))</f>
        <v/>
      </c>
      <c r="Q74" s="21" t="str">
        <f>IF($B74="","",IF(Config!$E$10="",0,SUMIFS('Leave Records'!$I:$I,'Leave Records'!$B:$B,$B74,'Leave Records'!$D:$D,Config!$E$10,'Leave Records'!$K:$K,"Approved")))</f>
        <v/>
      </c>
      <c r="R74" s="22" t="str">
        <f>IF($B74="","",IF(Config!$E$10="",0,SUMIFS('Leave Records'!$I:$I,'Leave Records'!$B:$B,$B74,'Leave Records'!$D:$D,Config!$E$10,'Leave Records'!$K:$K,"Pending")))</f>
        <v/>
      </c>
      <c r="S74" s="9" t="str">
        <f t="shared" si="11"/>
        <v/>
      </c>
      <c r="T74" s="19" t="str">
        <f>IF($B74="","",IFERROR(Config!$F$11,0))</f>
        <v/>
      </c>
      <c r="U74" s="21" t="str">
        <f>IF($B74="","",IF(Config!$E$11="",0,SUMIFS('Leave Records'!$I:$I,'Leave Records'!$B:$B,$B74,'Leave Records'!$D:$D,Config!$E$11,'Leave Records'!$K:$K,"Approved")))</f>
        <v/>
      </c>
      <c r="V74" s="22" t="str">
        <f>IF($B74="","",IF(Config!$E$11="",0,SUMIFS('Leave Records'!$I:$I,'Leave Records'!$B:$B,$B74,'Leave Records'!$D:$D,Config!$E$11,'Leave Records'!$K:$K,"Pending")))</f>
        <v/>
      </c>
      <c r="W74" s="9" t="str">
        <f t="shared" si="12"/>
        <v/>
      </c>
      <c r="X74" s="14" t="str">
        <f t="shared" si="13"/>
        <v/>
      </c>
    </row>
    <row r="75" ht="17" customHeight="1" spans="1:24">
      <c r="A75" s="5" t="str">
        <f t="shared" si="7"/>
        <v/>
      </c>
      <c r="B75" s="6" t="str">
        <f>IF(Config!$B$77="","",Config!$B$77)</f>
        <v/>
      </c>
      <c r="C75" s="7" t="str">
        <f>IF(Config!$B$77="","",Config!$C$77)</f>
        <v/>
      </c>
      <c r="D75" s="19" t="str">
        <f>IF($B75="","",IFERROR(Config!$F$7,0))</f>
        <v/>
      </c>
      <c r="E75" s="10" t="str">
        <f>IF($B75="","",IF(Config!$E$7="",0,SUMIFS('Leave Records'!$I:$I,'Leave Records'!$B:$B,$B75,'Leave Records'!$D:$D,Config!$E$7,'Leave Records'!$K:$K,"Approved")))</f>
        <v/>
      </c>
      <c r="F75" s="20" t="str">
        <f>IF($B75="","",IF(Config!$E$7="",0,SUMIFS('Leave Records'!$I:$I,'Leave Records'!$B:$B,$B75,'Leave Records'!$D:$D,Config!$E$7,'Leave Records'!$K:$K,"Pending")))</f>
        <v/>
      </c>
      <c r="G75" s="8" t="str">
        <f t="shared" si="8"/>
        <v/>
      </c>
      <c r="H75" s="19" t="str">
        <f>IF($B75="","",IFERROR(Config!$F$8,0))</f>
        <v/>
      </c>
      <c r="I75" s="10" t="str">
        <f>IF($B75="","",IF(Config!$E$8="",0,SUMIFS('Leave Records'!$I:$I,'Leave Records'!$B:$B,$B75,'Leave Records'!$D:$D,Config!$E$8,'Leave Records'!$K:$K,"Approved")))</f>
        <v/>
      </c>
      <c r="J75" s="20" t="str">
        <f>IF($B75="","",IF(Config!$E$8="",0,SUMIFS('Leave Records'!$I:$I,'Leave Records'!$B:$B,$B75,'Leave Records'!$D:$D,Config!$E$8,'Leave Records'!$K:$K,"Pending")))</f>
        <v/>
      </c>
      <c r="K75" s="8" t="str">
        <f t="shared" si="9"/>
        <v/>
      </c>
      <c r="L75" s="19" t="str">
        <f>IF($B75="","",IFERROR(Config!$F$9,0))</f>
        <v/>
      </c>
      <c r="M75" s="10" t="str">
        <f>IF($B75="","",IF(Config!$E$9="",0,SUMIFS('Leave Records'!$I:$I,'Leave Records'!$B:$B,$B75,'Leave Records'!$D:$D,Config!$E$9,'Leave Records'!$K:$K,"Approved")))</f>
        <v/>
      </c>
      <c r="N75" s="20" t="str">
        <f>IF($B75="","",IF(Config!$E$9="",0,SUMIFS('Leave Records'!$I:$I,'Leave Records'!$B:$B,$B75,'Leave Records'!$D:$D,Config!$E$9,'Leave Records'!$K:$K,"Pending")))</f>
        <v/>
      </c>
      <c r="O75" s="8" t="str">
        <f t="shared" si="10"/>
        <v/>
      </c>
      <c r="P75" s="19" t="str">
        <f>IF($B75="","",IFERROR(Config!$F$10,0))</f>
        <v/>
      </c>
      <c r="Q75" s="10" t="str">
        <f>IF($B75="","",IF(Config!$E$10="",0,SUMIFS('Leave Records'!$I:$I,'Leave Records'!$B:$B,$B75,'Leave Records'!$D:$D,Config!$E$10,'Leave Records'!$K:$K,"Approved")))</f>
        <v/>
      </c>
      <c r="R75" s="20" t="str">
        <f>IF($B75="","",IF(Config!$E$10="",0,SUMIFS('Leave Records'!$I:$I,'Leave Records'!$B:$B,$B75,'Leave Records'!$D:$D,Config!$E$10,'Leave Records'!$K:$K,"Pending")))</f>
        <v/>
      </c>
      <c r="S75" s="8" t="str">
        <f t="shared" si="11"/>
        <v/>
      </c>
      <c r="T75" s="19" t="str">
        <f>IF($B75="","",IFERROR(Config!$F$11,0))</f>
        <v/>
      </c>
      <c r="U75" s="10" t="str">
        <f>IF($B75="","",IF(Config!$E$11="",0,SUMIFS('Leave Records'!$I:$I,'Leave Records'!$B:$B,$B75,'Leave Records'!$D:$D,Config!$E$11,'Leave Records'!$K:$K,"Approved")))</f>
        <v/>
      </c>
      <c r="V75" s="20" t="str">
        <f>IF($B75="","",IF(Config!$E$11="",0,SUMIFS('Leave Records'!$I:$I,'Leave Records'!$B:$B,$B75,'Leave Records'!$D:$D,Config!$E$11,'Leave Records'!$K:$K,"Pending")))</f>
        <v/>
      </c>
      <c r="W75" s="8" t="str">
        <f t="shared" si="12"/>
        <v/>
      </c>
      <c r="X75" s="11" t="str">
        <f t="shared" si="13"/>
        <v/>
      </c>
    </row>
    <row r="76" ht="17" customHeight="1" spans="1:24">
      <c r="A76" s="5" t="str">
        <f t="shared" si="7"/>
        <v/>
      </c>
      <c r="B76" s="12" t="str">
        <f>IF(Config!$B$78="","",Config!$B$78)</f>
        <v/>
      </c>
      <c r="C76" s="13" t="str">
        <f>IF(Config!$B$78="","",Config!$C$78)</f>
        <v/>
      </c>
      <c r="D76" s="19" t="str">
        <f>IF($B76="","",IFERROR(Config!$F$7,0))</f>
        <v/>
      </c>
      <c r="E76" s="21" t="str">
        <f>IF($B76="","",IF(Config!$E$7="",0,SUMIFS('Leave Records'!$I:$I,'Leave Records'!$B:$B,$B76,'Leave Records'!$D:$D,Config!$E$7,'Leave Records'!$K:$K,"Approved")))</f>
        <v/>
      </c>
      <c r="F76" s="22" t="str">
        <f>IF($B76="","",IF(Config!$E$7="",0,SUMIFS('Leave Records'!$I:$I,'Leave Records'!$B:$B,$B76,'Leave Records'!$D:$D,Config!$E$7,'Leave Records'!$K:$K,"Pending")))</f>
        <v/>
      </c>
      <c r="G76" s="9" t="str">
        <f t="shared" si="8"/>
        <v/>
      </c>
      <c r="H76" s="19" t="str">
        <f>IF($B76="","",IFERROR(Config!$F$8,0))</f>
        <v/>
      </c>
      <c r="I76" s="21" t="str">
        <f>IF($B76="","",IF(Config!$E$8="",0,SUMIFS('Leave Records'!$I:$I,'Leave Records'!$B:$B,$B76,'Leave Records'!$D:$D,Config!$E$8,'Leave Records'!$K:$K,"Approved")))</f>
        <v/>
      </c>
      <c r="J76" s="22" t="str">
        <f>IF($B76="","",IF(Config!$E$8="",0,SUMIFS('Leave Records'!$I:$I,'Leave Records'!$B:$B,$B76,'Leave Records'!$D:$D,Config!$E$8,'Leave Records'!$K:$K,"Pending")))</f>
        <v/>
      </c>
      <c r="K76" s="9" t="str">
        <f t="shared" si="9"/>
        <v/>
      </c>
      <c r="L76" s="19" t="str">
        <f>IF($B76="","",IFERROR(Config!$F$9,0))</f>
        <v/>
      </c>
      <c r="M76" s="21" t="str">
        <f>IF($B76="","",IF(Config!$E$9="",0,SUMIFS('Leave Records'!$I:$I,'Leave Records'!$B:$B,$B76,'Leave Records'!$D:$D,Config!$E$9,'Leave Records'!$K:$K,"Approved")))</f>
        <v/>
      </c>
      <c r="N76" s="22" t="str">
        <f>IF($B76="","",IF(Config!$E$9="",0,SUMIFS('Leave Records'!$I:$I,'Leave Records'!$B:$B,$B76,'Leave Records'!$D:$D,Config!$E$9,'Leave Records'!$K:$K,"Pending")))</f>
        <v/>
      </c>
      <c r="O76" s="9" t="str">
        <f t="shared" si="10"/>
        <v/>
      </c>
      <c r="P76" s="19" t="str">
        <f>IF($B76="","",IFERROR(Config!$F$10,0))</f>
        <v/>
      </c>
      <c r="Q76" s="21" t="str">
        <f>IF($B76="","",IF(Config!$E$10="",0,SUMIFS('Leave Records'!$I:$I,'Leave Records'!$B:$B,$B76,'Leave Records'!$D:$D,Config!$E$10,'Leave Records'!$K:$K,"Approved")))</f>
        <v/>
      </c>
      <c r="R76" s="22" t="str">
        <f>IF($B76="","",IF(Config!$E$10="",0,SUMIFS('Leave Records'!$I:$I,'Leave Records'!$B:$B,$B76,'Leave Records'!$D:$D,Config!$E$10,'Leave Records'!$K:$K,"Pending")))</f>
        <v/>
      </c>
      <c r="S76" s="9" t="str">
        <f t="shared" si="11"/>
        <v/>
      </c>
      <c r="T76" s="19" t="str">
        <f>IF($B76="","",IFERROR(Config!$F$11,0))</f>
        <v/>
      </c>
      <c r="U76" s="21" t="str">
        <f>IF($B76="","",IF(Config!$E$11="",0,SUMIFS('Leave Records'!$I:$I,'Leave Records'!$B:$B,$B76,'Leave Records'!$D:$D,Config!$E$11,'Leave Records'!$K:$K,"Approved")))</f>
        <v/>
      </c>
      <c r="V76" s="22" t="str">
        <f>IF($B76="","",IF(Config!$E$11="",0,SUMIFS('Leave Records'!$I:$I,'Leave Records'!$B:$B,$B76,'Leave Records'!$D:$D,Config!$E$11,'Leave Records'!$K:$K,"Pending")))</f>
        <v/>
      </c>
      <c r="W76" s="9" t="str">
        <f t="shared" si="12"/>
        <v/>
      </c>
      <c r="X76" s="14" t="str">
        <f t="shared" si="13"/>
        <v/>
      </c>
    </row>
    <row r="77" ht="17" customHeight="1" spans="1:24">
      <c r="A77" s="5" t="str">
        <f t="shared" si="7"/>
        <v/>
      </c>
      <c r="B77" s="6" t="str">
        <f>IF(Config!$B$79="","",Config!$B$79)</f>
        <v/>
      </c>
      <c r="C77" s="7" t="str">
        <f>IF(Config!$B$79="","",Config!$C$79)</f>
        <v/>
      </c>
      <c r="D77" s="19" t="str">
        <f>IF($B77="","",IFERROR(Config!$F$7,0))</f>
        <v/>
      </c>
      <c r="E77" s="10" t="str">
        <f>IF($B77="","",IF(Config!$E$7="",0,SUMIFS('Leave Records'!$I:$I,'Leave Records'!$B:$B,$B77,'Leave Records'!$D:$D,Config!$E$7,'Leave Records'!$K:$K,"Approved")))</f>
        <v/>
      </c>
      <c r="F77" s="20" t="str">
        <f>IF($B77="","",IF(Config!$E$7="",0,SUMIFS('Leave Records'!$I:$I,'Leave Records'!$B:$B,$B77,'Leave Records'!$D:$D,Config!$E$7,'Leave Records'!$K:$K,"Pending")))</f>
        <v/>
      </c>
      <c r="G77" s="8" t="str">
        <f t="shared" si="8"/>
        <v/>
      </c>
      <c r="H77" s="19" t="str">
        <f>IF($B77="","",IFERROR(Config!$F$8,0))</f>
        <v/>
      </c>
      <c r="I77" s="10" t="str">
        <f>IF($B77="","",IF(Config!$E$8="",0,SUMIFS('Leave Records'!$I:$I,'Leave Records'!$B:$B,$B77,'Leave Records'!$D:$D,Config!$E$8,'Leave Records'!$K:$K,"Approved")))</f>
        <v/>
      </c>
      <c r="J77" s="20" t="str">
        <f>IF($B77="","",IF(Config!$E$8="",0,SUMIFS('Leave Records'!$I:$I,'Leave Records'!$B:$B,$B77,'Leave Records'!$D:$D,Config!$E$8,'Leave Records'!$K:$K,"Pending")))</f>
        <v/>
      </c>
      <c r="K77" s="8" t="str">
        <f t="shared" si="9"/>
        <v/>
      </c>
      <c r="L77" s="19" t="str">
        <f>IF($B77="","",IFERROR(Config!$F$9,0))</f>
        <v/>
      </c>
      <c r="M77" s="10" t="str">
        <f>IF($B77="","",IF(Config!$E$9="",0,SUMIFS('Leave Records'!$I:$I,'Leave Records'!$B:$B,$B77,'Leave Records'!$D:$D,Config!$E$9,'Leave Records'!$K:$K,"Approved")))</f>
        <v/>
      </c>
      <c r="N77" s="20" t="str">
        <f>IF($B77="","",IF(Config!$E$9="",0,SUMIFS('Leave Records'!$I:$I,'Leave Records'!$B:$B,$B77,'Leave Records'!$D:$D,Config!$E$9,'Leave Records'!$K:$K,"Pending")))</f>
        <v/>
      </c>
      <c r="O77" s="8" t="str">
        <f t="shared" si="10"/>
        <v/>
      </c>
      <c r="P77" s="19" t="str">
        <f>IF($B77="","",IFERROR(Config!$F$10,0))</f>
        <v/>
      </c>
      <c r="Q77" s="10" t="str">
        <f>IF($B77="","",IF(Config!$E$10="",0,SUMIFS('Leave Records'!$I:$I,'Leave Records'!$B:$B,$B77,'Leave Records'!$D:$D,Config!$E$10,'Leave Records'!$K:$K,"Approved")))</f>
        <v/>
      </c>
      <c r="R77" s="20" t="str">
        <f>IF($B77="","",IF(Config!$E$10="",0,SUMIFS('Leave Records'!$I:$I,'Leave Records'!$B:$B,$B77,'Leave Records'!$D:$D,Config!$E$10,'Leave Records'!$K:$K,"Pending")))</f>
        <v/>
      </c>
      <c r="S77" s="8" t="str">
        <f t="shared" si="11"/>
        <v/>
      </c>
      <c r="T77" s="19" t="str">
        <f>IF($B77="","",IFERROR(Config!$F$11,0))</f>
        <v/>
      </c>
      <c r="U77" s="10" t="str">
        <f>IF($B77="","",IF(Config!$E$11="",0,SUMIFS('Leave Records'!$I:$I,'Leave Records'!$B:$B,$B77,'Leave Records'!$D:$D,Config!$E$11,'Leave Records'!$K:$K,"Approved")))</f>
        <v/>
      </c>
      <c r="V77" s="20" t="str">
        <f>IF($B77="","",IF(Config!$E$11="",0,SUMIFS('Leave Records'!$I:$I,'Leave Records'!$B:$B,$B77,'Leave Records'!$D:$D,Config!$E$11,'Leave Records'!$K:$K,"Pending")))</f>
        <v/>
      </c>
      <c r="W77" s="8" t="str">
        <f t="shared" si="12"/>
        <v/>
      </c>
      <c r="X77" s="11" t="str">
        <f t="shared" si="13"/>
        <v/>
      </c>
    </row>
    <row r="78" ht="17" customHeight="1" spans="1:24">
      <c r="A78" s="5" t="str">
        <f t="shared" si="7"/>
        <v/>
      </c>
      <c r="B78" s="12" t="str">
        <f>IF(Config!$B$80="","",Config!$B$80)</f>
        <v/>
      </c>
      <c r="C78" s="13" t="str">
        <f>IF(Config!$B$80="","",Config!$C$80)</f>
        <v/>
      </c>
      <c r="D78" s="19" t="str">
        <f>IF($B78="","",IFERROR(Config!$F$7,0))</f>
        <v/>
      </c>
      <c r="E78" s="21" t="str">
        <f>IF($B78="","",IF(Config!$E$7="",0,SUMIFS('Leave Records'!$I:$I,'Leave Records'!$B:$B,$B78,'Leave Records'!$D:$D,Config!$E$7,'Leave Records'!$K:$K,"Approved")))</f>
        <v/>
      </c>
      <c r="F78" s="22" t="str">
        <f>IF($B78="","",IF(Config!$E$7="",0,SUMIFS('Leave Records'!$I:$I,'Leave Records'!$B:$B,$B78,'Leave Records'!$D:$D,Config!$E$7,'Leave Records'!$K:$K,"Pending")))</f>
        <v/>
      </c>
      <c r="G78" s="9" t="str">
        <f t="shared" si="8"/>
        <v/>
      </c>
      <c r="H78" s="19" t="str">
        <f>IF($B78="","",IFERROR(Config!$F$8,0))</f>
        <v/>
      </c>
      <c r="I78" s="21" t="str">
        <f>IF($B78="","",IF(Config!$E$8="",0,SUMIFS('Leave Records'!$I:$I,'Leave Records'!$B:$B,$B78,'Leave Records'!$D:$D,Config!$E$8,'Leave Records'!$K:$K,"Approved")))</f>
        <v/>
      </c>
      <c r="J78" s="22" t="str">
        <f>IF($B78="","",IF(Config!$E$8="",0,SUMIFS('Leave Records'!$I:$I,'Leave Records'!$B:$B,$B78,'Leave Records'!$D:$D,Config!$E$8,'Leave Records'!$K:$K,"Pending")))</f>
        <v/>
      </c>
      <c r="K78" s="9" t="str">
        <f t="shared" si="9"/>
        <v/>
      </c>
      <c r="L78" s="19" t="str">
        <f>IF($B78="","",IFERROR(Config!$F$9,0))</f>
        <v/>
      </c>
      <c r="M78" s="21" t="str">
        <f>IF($B78="","",IF(Config!$E$9="",0,SUMIFS('Leave Records'!$I:$I,'Leave Records'!$B:$B,$B78,'Leave Records'!$D:$D,Config!$E$9,'Leave Records'!$K:$K,"Approved")))</f>
        <v/>
      </c>
      <c r="N78" s="22" t="str">
        <f>IF($B78="","",IF(Config!$E$9="",0,SUMIFS('Leave Records'!$I:$I,'Leave Records'!$B:$B,$B78,'Leave Records'!$D:$D,Config!$E$9,'Leave Records'!$K:$K,"Pending")))</f>
        <v/>
      </c>
      <c r="O78" s="9" t="str">
        <f t="shared" si="10"/>
        <v/>
      </c>
      <c r="P78" s="19" t="str">
        <f>IF($B78="","",IFERROR(Config!$F$10,0))</f>
        <v/>
      </c>
      <c r="Q78" s="21" t="str">
        <f>IF($B78="","",IF(Config!$E$10="",0,SUMIFS('Leave Records'!$I:$I,'Leave Records'!$B:$B,$B78,'Leave Records'!$D:$D,Config!$E$10,'Leave Records'!$K:$K,"Approved")))</f>
        <v/>
      </c>
      <c r="R78" s="22" t="str">
        <f>IF($B78="","",IF(Config!$E$10="",0,SUMIFS('Leave Records'!$I:$I,'Leave Records'!$B:$B,$B78,'Leave Records'!$D:$D,Config!$E$10,'Leave Records'!$K:$K,"Pending")))</f>
        <v/>
      </c>
      <c r="S78" s="9" t="str">
        <f t="shared" si="11"/>
        <v/>
      </c>
      <c r="T78" s="19" t="str">
        <f>IF($B78="","",IFERROR(Config!$F$11,0))</f>
        <v/>
      </c>
      <c r="U78" s="21" t="str">
        <f>IF($B78="","",IF(Config!$E$11="",0,SUMIFS('Leave Records'!$I:$I,'Leave Records'!$B:$B,$B78,'Leave Records'!$D:$D,Config!$E$11,'Leave Records'!$K:$K,"Approved")))</f>
        <v/>
      </c>
      <c r="V78" s="22" t="str">
        <f>IF($B78="","",IF(Config!$E$11="",0,SUMIFS('Leave Records'!$I:$I,'Leave Records'!$B:$B,$B78,'Leave Records'!$D:$D,Config!$E$11,'Leave Records'!$K:$K,"Pending")))</f>
        <v/>
      </c>
      <c r="W78" s="9" t="str">
        <f t="shared" si="12"/>
        <v/>
      </c>
      <c r="X78" s="14" t="str">
        <f t="shared" si="13"/>
        <v/>
      </c>
    </row>
    <row r="79" ht="17" customHeight="1" spans="1:24">
      <c r="A79" s="5" t="str">
        <f t="shared" si="7"/>
        <v/>
      </c>
      <c r="B79" s="6" t="str">
        <f>IF(Config!$B$81="","",Config!$B$81)</f>
        <v/>
      </c>
      <c r="C79" s="7" t="str">
        <f>IF(Config!$B$81="","",Config!$C$81)</f>
        <v/>
      </c>
      <c r="D79" s="19" t="str">
        <f>IF($B79="","",IFERROR(Config!$F$7,0))</f>
        <v/>
      </c>
      <c r="E79" s="10" t="str">
        <f>IF($B79="","",IF(Config!$E$7="",0,SUMIFS('Leave Records'!$I:$I,'Leave Records'!$B:$B,$B79,'Leave Records'!$D:$D,Config!$E$7,'Leave Records'!$K:$K,"Approved")))</f>
        <v/>
      </c>
      <c r="F79" s="20" t="str">
        <f>IF($B79="","",IF(Config!$E$7="",0,SUMIFS('Leave Records'!$I:$I,'Leave Records'!$B:$B,$B79,'Leave Records'!$D:$D,Config!$E$7,'Leave Records'!$K:$K,"Pending")))</f>
        <v/>
      </c>
      <c r="G79" s="8" t="str">
        <f t="shared" si="8"/>
        <v/>
      </c>
      <c r="H79" s="19" t="str">
        <f>IF($B79="","",IFERROR(Config!$F$8,0))</f>
        <v/>
      </c>
      <c r="I79" s="10" t="str">
        <f>IF($B79="","",IF(Config!$E$8="",0,SUMIFS('Leave Records'!$I:$I,'Leave Records'!$B:$B,$B79,'Leave Records'!$D:$D,Config!$E$8,'Leave Records'!$K:$K,"Approved")))</f>
        <v/>
      </c>
      <c r="J79" s="20" t="str">
        <f>IF($B79="","",IF(Config!$E$8="",0,SUMIFS('Leave Records'!$I:$I,'Leave Records'!$B:$B,$B79,'Leave Records'!$D:$D,Config!$E$8,'Leave Records'!$K:$K,"Pending")))</f>
        <v/>
      </c>
      <c r="K79" s="8" t="str">
        <f t="shared" si="9"/>
        <v/>
      </c>
      <c r="L79" s="19" t="str">
        <f>IF($B79="","",IFERROR(Config!$F$9,0))</f>
        <v/>
      </c>
      <c r="M79" s="10" t="str">
        <f>IF($B79="","",IF(Config!$E$9="",0,SUMIFS('Leave Records'!$I:$I,'Leave Records'!$B:$B,$B79,'Leave Records'!$D:$D,Config!$E$9,'Leave Records'!$K:$K,"Approved")))</f>
        <v/>
      </c>
      <c r="N79" s="20" t="str">
        <f>IF($B79="","",IF(Config!$E$9="",0,SUMIFS('Leave Records'!$I:$I,'Leave Records'!$B:$B,$B79,'Leave Records'!$D:$D,Config!$E$9,'Leave Records'!$K:$K,"Pending")))</f>
        <v/>
      </c>
      <c r="O79" s="8" t="str">
        <f t="shared" si="10"/>
        <v/>
      </c>
      <c r="P79" s="19" t="str">
        <f>IF($B79="","",IFERROR(Config!$F$10,0))</f>
        <v/>
      </c>
      <c r="Q79" s="10" t="str">
        <f>IF($B79="","",IF(Config!$E$10="",0,SUMIFS('Leave Records'!$I:$I,'Leave Records'!$B:$B,$B79,'Leave Records'!$D:$D,Config!$E$10,'Leave Records'!$K:$K,"Approved")))</f>
        <v/>
      </c>
      <c r="R79" s="20" t="str">
        <f>IF($B79="","",IF(Config!$E$10="",0,SUMIFS('Leave Records'!$I:$I,'Leave Records'!$B:$B,$B79,'Leave Records'!$D:$D,Config!$E$10,'Leave Records'!$K:$K,"Pending")))</f>
        <v/>
      </c>
      <c r="S79" s="8" t="str">
        <f t="shared" si="11"/>
        <v/>
      </c>
      <c r="T79" s="19" t="str">
        <f>IF($B79="","",IFERROR(Config!$F$11,0))</f>
        <v/>
      </c>
      <c r="U79" s="10" t="str">
        <f>IF($B79="","",IF(Config!$E$11="",0,SUMIFS('Leave Records'!$I:$I,'Leave Records'!$B:$B,$B79,'Leave Records'!$D:$D,Config!$E$11,'Leave Records'!$K:$K,"Approved")))</f>
        <v/>
      </c>
      <c r="V79" s="20" t="str">
        <f>IF($B79="","",IF(Config!$E$11="",0,SUMIFS('Leave Records'!$I:$I,'Leave Records'!$B:$B,$B79,'Leave Records'!$D:$D,Config!$E$11,'Leave Records'!$K:$K,"Pending")))</f>
        <v/>
      </c>
      <c r="W79" s="8" t="str">
        <f t="shared" si="12"/>
        <v/>
      </c>
      <c r="X79" s="11" t="str">
        <f t="shared" si="13"/>
        <v/>
      </c>
    </row>
    <row r="80" ht="17" customHeight="1" spans="1:24">
      <c r="A80" s="5" t="str">
        <f t="shared" si="7"/>
        <v/>
      </c>
      <c r="B80" s="12" t="str">
        <f>IF(Config!$B$82="","",Config!$B$82)</f>
        <v/>
      </c>
      <c r="C80" s="13" t="str">
        <f>IF(Config!$B$82="","",Config!$C$82)</f>
        <v/>
      </c>
      <c r="D80" s="19" t="str">
        <f>IF($B80="","",IFERROR(Config!$F$7,0))</f>
        <v/>
      </c>
      <c r="E80" s="21" t="str">
        <f>IF($B80="","",IF(Config!$E$7="",0,SUMIFS('Leave Records'!$I:$I,'Leave Records'!$B:$B,$B80,'Leave Records'!$D:$D,Config!$E$7,'Leave Records'!$K:$K,"Approved")))</f>
        <v/>
      </c>
      <c r="F80" s="22" t="str">
        <f>IF($B80="","",IF(Config!$E$7="",0,SUMIFS('Leave Records'!$I:$I,'Leave Records'!$B:$B,$B80,'Leave Records'!$D:$D,Config!$E$7,'Leave Records'!$K:$K,"Pending")))</f>
        <v/>
      </c>
      <c r="G80" s="9" t="str">
        <f t="shared" si="8"/>
        <v/>
      </c>
      <c r="H80" s="19" t="str">
        <f>IF($B80="","",IFERROR(Config!$F$8,0))</f>
        <v/>
      </c>
      <c r="I80" s="21" t="str">
        <f>IF($B80="","",IF(Config!$E$8="",0,SUMIFS('Leave Records'!$I:$I,'Leave Records'!$B:$B,$B80,'Leave Records'!$D:$D,Config!$E$8,'Leave Records'!$K:$K,"Approved")))</f>
        <v/>
      </c>
      <c r="J80" s="22" t="str">
        <f>IF($B80="","",IF(Config!$E$8="",0,SUMIFS('Leave Records'!$I:$I,'Leave Records'!$B:$B,$B80,'Leave Records'!$D:$D,Config!$E$8,'Leave Records'!$K:$K,"Pending")))</f>
        <v/>
      </c>
      <c r="K80" s="9" t="str">
        <f t="shared" si="9"/>
        <v/>
      </c>
      <c r="L80" s="19" t="str">
        <f>IF($B80="","",IFERROR(Config!$F$9,0))</f>
        <v/>
      </c>
      <c r="M80" s="21" t="str">
        <f>IF($B80="","",IF(Config!$E$9="",0,SUMIFS('Leave Records'!$I:$I,'Leave Records'!$B:$B,$B80,'Leave Records'!$D:$D,Config!$E$9,'Leave Records'!$K:$K,"Approved")))</f>
        <v/>
      </c>
      <c r="N80" s="22" t="str">
        <f>IF($B80="","",IF(Config!$E$9="",0,SUMIFS('Leave Records'!$I:$I,'Leave Records'!$B:$B,$B80,'Leave Records'!$D:$D,Config!$E$9,'Leave Records'!$K:$K,"Pending")))</f>
        <v/>
      </c>
      <c r="O80" s="9" t="str">
        <f t="shared" si="10"/>
        <v/>
      </c>
      <c r="P80" s="19" t="str">
        <f>IF($B80="","",IFERROR(Config!$F$10,0))</f>
        <v/>
      </c>
      <c r="Q80" s="21" t="str">
        <f>IF($B80="","",IF(Config!$E$10="",0,SUMIFS('Leave Records'!$I:$I,'Leave Records'!$B:$B,$B80,'Leave Records'!$D:$D,Config!$E$10,'Leave Records'!$K:$K,"Approved")))</f>
        <v/>
      </c>
      <c r="R80" s="22" t="str">
        <f>IF($B80="","",IF(Config!$E$10="",0,SUMIFS('Leave Records'!$I:$I,'Leave Records'!$B:$B,$B80,'Leave Records'!$D:$D,Config!$E$10,'Leave Records'!$K:$K,"Pending")))</f>
        <v/>
      </c>
      <c r="S80" s="9" t="str">
        <f t="shared" si="11"/>
        <v/>
      </c>
      <c r="T80" s="19" t="str">
        <f>IF($B80="","",IFERROR(Config!$F$11,0))</f>
        <v/>
      </c>
      <c r="U80" s="21" t="str">
        <f>IF($B80="","",IF(Config!$E$11="",0,SUMIFS('Leave Records'!$I:$I,'Leave Records'!$B:$B,$B80,'Leave Records'!$D:$D,Config!$E$11,'Leave Records'!$K:$K,"Approved")))</f>
        <v/>
      </c>
      <c r="V80" s="22" t="str">
        <f>IF($B80="","",IF(Config!$E$11="",0,SUMIFS('Leave Records'!$I:$I,'Leave Records'!$B:$B,$B80,'Leave Records'!$D:$D,Config!$E$11,'Leave Records'!$K:$K,"Pending")))</f>
        <v/>
      </c>
      <c r="W80" s="9" t="str">
        <f t="shared" si="12"/>
        <v/>
      </c>
      <c r="X80" s="14" t="str">
        <f t="shared" si="13"/>
        <v/>
      </c>
    </row>
    <row r="81" ht="17" customHeight="1" spans="1:24">
      <c r="A81" s="5" t="str">
        <f t="shared" si="7"/>
        <v/>
      </c>
      <c r="B81" s="6" t="str">
        <f>IF(Config!$B$83="","",Config!$B$83)</f>
        <v/>
      </c>
      <c r="C81" s="7" t="str">
        <f>IF(Config!$B$83="","",Config!$C$83)</f>
        <v/>
      </c>
      <c r="D81" s="19" t="str">
        <f>IF($B81="","",IFERROR(Config!$F$7,0))</f>
        <v/>
      </c>
      <c r="E81" s="10" t="str">
        <f>IF($B81="","",IF(Config!$E$7="",0,SUMIFS('Leave Records'!$I:$I,'Leave Records'!$B:$B,$B81,'Leave Records'!$D:$D,Config!$E$7,'Leave Records'!$K:$K,"Approved")))</f>
        <v/>
      </c>
      <c r="F81" s="20" t="str">
        <f>IF($B81="","",IF(Config!$E$7="",0,SUMIFS('Leave Records'!$I:$I,'Leave Records'!$B:$B,$B81,'Leave Records'!$D:$D,Config!$E$7,'Leave Records'!$K:$K,"Pending")))</f>
        <v/>
      </c>
      <c r="G81" s="8" t="str">
        <f t="shared" si="8"/>
        <v/>
      </c>
      <c r="H81" s="19" t="str">
        <f>IF($B81="","",IFERROR(Config!$F$8,0))</f>
        <v/>
      </c>
      <c r="I81" s="10" t="str">
        <f>IF($B81="","",IF(Config!$E$8="",0,SUMIFS('Leave Records'!$I:$I,'Leave Records'!$B:$B,$B81,'Leave Records'!$D:$D,Config!$E$8,'Leave Records'!$K:$K,"Approved")))</f>
        <v/>
      </c>
      <c r="J81" s="20" t="str">
        <f>IF($B81="","",IF(Config!$E$8="",0,SUMIFS('Leave Records'!$I:$I,'Leave Records'!$B:$B,$B81,'Leave Records'!$D:$D,Config!$E$8,'Leave Records'!$K:$K,"Pending")))</f>
        <v/>
      </c>
      <c r="K81" s="8" t="str">
        <f t="shared" si="9"/>
        <v/>
      </c>
      <c r="L81" s="19" t="str">
        <f>IF($B81="","",IFERROR(Config!$F$9,0))</f>
        <v/>
      </c>
      <c r="M81" s="10" t="str">
        <f>IF($B81="","",IF(Config!$E$9="",0,SUMIFS('Leave Records'!$I:$I,'Leave Records'!$B:$B,$B81,'Leave Records'!$D:$D,Config!$E$9,'Leave Records'!$K:$K,"Approved")))</f>
        <v/>
      </c>
      <c r="N81" s="20" t="str">
        <f>IF($B81="","",IF(Config!$E$9="",0,SUMIFS('Leave Records'!$I:$I,'Leave Records'!$B:$B,$B81,'Leave Records'!$D:$D,Config!$E$9,'Leave Records'!$K:$K,"Pending")))</f>
        <v/>
      </c>
      <c r="O81" s="8" t="str">
        <f t="shared" si="10"/>
        <v/>
      </c>
      <c r="P81" s="19" t="str">
        <f>IF($B81="","",IFERROR(Config!$F$10,0))</f>
        <v/>
      </c>
      <c r="Q81" s="10" t="str">
        <f>IF($B81="","",IF(Config!$E$10="",0,SUMIFS('Leave Records'!$I:$I,'Leave Records'!$B:$B,$B81,'Leave Records'!$D:$D,Config!$E$10,'Leave Records'!$K:$K,"Approved")))</f>
        <v/>
      </c>
      <c r="R81" s="20" t="str">
        <f>IF($B81="","",IF(Config!$E$10="",0,SUMIFS('Leave Records'!$I:$I,'Leave Records'!$B:$B,$B81,'Leave Records'!$D:$D,Config!$E$10,'Leave Records'!$K:$K,"Pending")))</f>
        <v/>
      </c>
      <c r="S81" s="8" t="str">
        <f t="shared" si="11"/>
        <v/>
      </c>
      <c r="T81" s="19" t="str">
        <f>IF($B81="","",IFERROR(Config!$F$11,0))</f>
        <v/>
      </c>
      <c r="U81" s="10" t="str">
        <f>IF($B81="","",IF(Config!$E$11="",0,SUMIFS('Leave Records'!$I:$I,'Leave Records'!$B:$B,$B81,'Leave Records'!$D:$D,Config!$E$11,'Leave Records'!$K:$K,"Approved")))</f>
        <v/>
      </c>
      <c r="V81" s="20" t="str">
        <f>IF($B81="","",IF(Config!$E$11="",0,SUMIFS('Leave Records'!$I:$I,'Leave Records'!$B:$B,$B81,'Leave Records'!$D:$D,Config!$E$11,'Leave Records'!$K:$K,"Pending")))</f>
        <v/>
      </c>
      <c r="W81" s="8" t="str">
        <f t="shared" si="12"/>
        <v/>
      </c>
      <c r="X81" s="11" t="str">
        <f t="shared" si="13"/>
        <v/>
      </c>
    </row>
    <row r="82" ht="17" customHeight="1" spans="1:24">
      <c r="A82" s="5" t="str">
        <f t="shared" si="7"/>
        <v/>
      </c>
      <c r="B82" s="12" t="str">
        <f>IF(Config!$B$84="","",Config!$B$84)</f>
        <v/>
      </c>
      <c r="C82" s="13" t="str">
        <f>IF(Config!$B$84="","",Config!$C$84)</f>
        <v/>
      </c>
      <c r="D82" s="19" t="str">
        <f>IF($B82="","",IFERROR(Config!$F$7,0))</f>
        <v/>
      </c>
      <c r="E82" s="21" t="str">
        <f>IF($B82="","",IF(Config!$E$7="",0,SUMIFS('Leave Records'!$I:$I,'Leave Records'!$B:$B,$B82,'Leave Records'!$D:$D,Config!$E$7,'Leave Records'!$K:$K,"Approved")))</f>
        <v/>
      </c>
      <c r="F82" s="22" t="str">
        <f>IF($B82="","",IF(Config!$E$7="",0,SUMIFS('Leave Records'!$I:$I,'Leave Records'!$B:$B,$B82,'Leave Records'!$D:$D,Config!$E$7,'Leave Records'!$K:$K,"Pending")))</f>
        <v/>
      </c>
      <c r="G82" s="9" t="str">
        <f t="shared" si="8"/>
        <v/>
      </c>
      <c r="H82" s="19" t="str">
        <f>IF($B82="","",IFERROR(Config!$F$8,0))</f>
        <v/>
      </c>
      <c r="I82" s="21" t="str">
        <f>IF($B82="","",IF(Config!$E$8="",0,SUMIFS('Leave Records'!$I:$I,'Leave Records'!$B:$B,$B82,'Leave Records'!$D:$D,Config!$E$8,'Leave Records'!$K:$K,"Approved")))</f>
        <v/>
      </c>
      <c r="J82" s="22" t="str">
        <f>IF($B82="","",IF(Config!$E$8="",0,SUMIFS('Leave Records'!$I:$I,'Leave Records'!$B:$B,$B82,'Leave Records'!$D:$D,Config!$E$8,'Leave Records'!$K:$K,"Pending")))</f>
        <v/>
      </c>
      <c r="K82" s="9" t="str">
        <f t="shared" si="9"/>
        <v/>
      </c>
      <c r="L82" s="19" t="str">
        <f>IF($B82="","",IFERROR(Config!$F$9,0))</f>
        <v/>
      </c>
      <c r="M82" s="21" t="str">
        <f>IF($B82="","",IF(Config!$E$9="",0,SUMIFS('Leave Records'!$I:$I,'Leave Records'!$B:$B,$B82,'Leave Records'!$D:$D,Config!$E$9,'Leave Records'!$K:$K,"Approved")))</f>
        <v/>
      </c>
      <c r="N82" s="22" t="str">
        <f>IF($B82="","",IF(Config!$E$9="",0,SUMIFS('Leave Records'!$I:$I,'Leave Records'!$B:$B,$B82,'Leave Records'!$D:$D,Config!$E$9,'Leave Records'!$K:$K,"Pending")))</f>
        <v/>
      </c>
      <c r="O82" s="9" t="str">
        <f t="shared" si="10"/>
        <v/>
      </c>
      <c r="P82" s="19" t="str">
        <f>IF($B82="","",IFERROR(Config!$F$10,0))</f>
        <v/>
      </c>
      <c r="Q82" s="21" t="str">
        <f>IF($B82="","",IF(Config!$E$10="",0,SUMIFS('Leave Records'!$I:$I,'Leave Records'!$B:$B,$B82,'Leave Records'!$D:$D,Config!$E$10,'Leave Records'!$K:$K,"Approved")))</f>
        <v/>
      </c>
      <c r="R82" s="22" t="str">
        <f>IF($B82="","",IF(Config!$E$10="",0,SUMIFS('Leave Records'!$I:$I,'Leave Records'!$B:$B,$B82,'Leave Records'!$D:$D,Config!$E$10,'Leave Records'!$K:$K,"Pending")))</f>
        <v/>
      </c>
      <c r="S82" s="9" t="str">
        <f t="shared" si="11"/>
        <v/>
      </c>
      <c r="T82" s="19" t="str">
        <f>IF($B82="","",IFERROR(Config!$F$11,0))</f>
        <v/>
      </c>
      <c r="U82" s="21" t="str">
        <f>IF($B82="","",IF(Config!$E$11="",0,SUMIFS('Leave Records'!$I:$I,'Leave Records'!$B:$B,$B82,'Leave Records'!$D:$D,Config!$E$11,'Leave Records'!$K:$K,"Approved")))</f>
        <v/>
      </c>
      <c r="V82" s="22" t="str">
        <f>IF($B82="","",IF(Config!$E$11="",0,SUMIFS('Leave Records'!$I:$I,'Leave Records'!$B:$B,$B82,'Leave Records'!$D:$D,Config!$E$11,'Leave Records'!$K:$K,"Pending")))</f>
        <v/>
      </c>
      <c r="W82" s="9" t="str">
        <f t="shared" si="12"/>
        <v/>
      </c>
      <c r="X82" s="14" t="str">
        <f t="shared" si="13"/>
        <v/>
      </c>
    </row>
    <row r="83" ht="17" customHeight="1" spans="1:24">
      <c r="A83" s="5" t="str">
        <f t="shared" si="7"/>
        <v/>
      </c>
      <c r="B83" s="6" t="str">
        <f>IF(Config!$B$85="","",Config!$B$85)</f>
        <v/>
      </c>
      <c r="C83" s="7" t="str">
        <f>IF(Config!$B$85="","",Config!$C$85)</f>
        <v/>
      </c>
      <c r="D83" s="19" t="str">
        <f>IF($B83="","",IFERROR(Config!$F$7,0))</f>
        <v/>
      </c>
      <c r="E83" s="10" t="str">
        <f>IF($B83="","",IF(Config!$E$7="",0,SUMIFS('Leave Records'!$I:$I,'Leave Records'!$B:$B,$B83,'Leave Records'!$D:$D,Config!$E$7,'Leave Records'!$K:$K,"Approved")))</f>
        <v/>
      </c>
      <c r="F83" s="20" t="str">
        <f>IF($B83="","",IF(Config!$E$7="",0,SUMIFS('Leave Records'!$I:$I,'Leave Records'!$B:$B,$B83,'Leave Records'!$D:$D,Config!$E$7,'Leave Records'!$K:$K,"Pending")))</f>
        <v/>
      </c>
      <c r="G83" s="8" t="str">
        <f t="shared" si="8"/>
        <v/>
      </c>
      <c r="H83" s="19" t="str">
        <f>IF($B83="","",IFERROR(Config!$F$8,0))</f>
        <v/>
      </c>
      <c r="I83" s="10" t="str">
        <f>IF($B83="","",IF(Config!$E$8="",0,SUMIFS('Leave Records'!$I:$I,'Leave Records'!$B:$B,$B83,'Leave Records'!$D:$D,Config!$E$8,'Leave Records'!$K:$K,"Approved")))</f>
        <v/>
      </c>
      <c r="J83" s="20" t="str">
        <f>IF($B83="","",IF(Config!$E$8="",0,SUMIFS('Leave Records'!$I:$I,'Leave Records'!$B:$B,$B83,'Leave Records'!$D:$D,Config!$E$8,'Leave Records'!$K:$K,"Pending")))</f>
        <v/>
      </c>
      <c r="K83" s="8" t="str">
        <f t="shared" si="9"/>
        <v/>
      </c>
      <c r="L83" s="19" t="str">
        <f>IF($B83="","",IFERROR(Config!$F$9,0))</f>
        <v/>
      </c>
      <c r="M83" s="10" t="str">
        <f>IF($B83="","",IF(Config!$E$9="",0,SUMIFS('Leave Records'!$I:$I,'Leave Records'!$B:$B,$B83,'Leave Records'!$D:$D,Config!$E$9,'Leave Records'!$K:$K,"Approved")))</f>
        <v/>
      </c>
      <c r="N83" s="20" t="str">
        <f>IF($B83="","",IF(Config!$E$9="",0,SUMIFS('Leave Records'!$I:$I,'Leave Records'!$B:$B,$B83,'Leave Records'!$D:$D,Config!$E$9,'Leave Records'!$K:$K,"Pending")))</f>
        <v/>
      </c>
      <c r="O83" s="8" t="str">
        <f t="shared" si="10"/>
        <v/>
      </c>
      <c r="P83" s="19" t="str">
        <f>IF($B83="","",IFERROR(Config!$F$10,0))</f>
        <v/>
      </c>
      <c r="Q83" s="10" t="str">
        <f>IF($B83="","",IF(Config!$E$10="",0,SUMIFS('Leave Records'!$I:$I,'Leave Records'!$B:$B,$B83,'Leave Records'!$D:$D,Config!$E$10,'Leave Records'!$K:$K,"Approved")))</f>
        <v/>
      </c>
      <c r="R83" s="20" t="str">
        <f>IF($B83="","",IF(Config!$E$10="",0,SUMIFS('Leave Records'!$I:$I,'Leave Records'!$B:$B,$B83,'Leave Records'!$D:$D,Config!$E$10,'Leave Records'!$K:$K,"Pending")))</f>
        <v/>
      </c>
      <c r="S83" s="8" t="str">
        <f t="shared" si="11"/>
        <v/>
      </c>
      <c r="T83" s="19" t="str">
        <f>IF($B83="","",IFERROR(Config!$F$11,0))</f>
        <v/>
      </c>
      <c r="U83" s="10" t="str">
        <f>IF($B83="","",IF(Config!$E$11="",0,SUMIFS('Leave Records'!$I:$I,'Leave Records'!$B:$B,$B83,'Leave Records'!$D:$D,Config!$E$11,'Leave Records'!$K:$K,"Approved")))</f>
        <v/>
      </c>
      <c r="V83" s="20" t="str">
        <f>IF($B83="","",IF(Config!$E$11="",0,SUMIFS('Leave Records'!$I:$I,'Leave Records'!$B:$B,$B83,'Leave Records'!$D:$D,Config!$E$11,'Leave Records'!$K:$K,"Pending")))</f>
        <v/>
      </c>
      <c r="W83" s="8" t="str">
        <f t="shared" si="12"/>
        <v/>
      </c>
      <c r="X83" s="11" t="str">
        <f t="shared" si="13"/>
        <v/>
      </c>
    </row>
    <row r="84" ht="17" customHeight="1" spans="1:24">
      <c r="A84" s="5" t="str">
        <f t="shared" si="7"/>
        <v/>
      </c>
      <c r="B84" s="12" t="str">
        <f>IF(Config!$B$86="","",Config!$B$86)</f>
        <v/>
      </c>
      <c r="C84" s="13" t="str">
        <f>IF(Config!$B$86="","",Config!$C$86)</f>
        <v/>
      </c>
      <c r="D84" s="19" t="str">
        <f>IF($B84="","",IFERROR(Config!$F$7,0))</f>
        <v/>
      </c>
      <c r="E84" s="21" t="str">
        <f>IF($B84="","",IF(Config!$E$7="",0,SUMIFS('Leave Records'!$I:$I,'Leave Records'!$B:$B,$B84,'Leave Records'!$D:$D,Config!$E$7,'Leave Records'!$K:$K,"Approved")))</f>
        <v/>
      </c>
      <c r="F84" s="22" t="str">
        <f>IF($B84="","",IF(Config!$E$7="",0,SUMIFS('Leave Records'!$I:$I,'Leave Records'!$B:$B,$B84,'Leave Records'!$D:$D,Config!$E$7,'Leave Records'!$K:$K,"Pending")))</f>
        <v/>
      </c>
      <c r="G84" s="9" t="str">
        <f t="shared" si="8"/>
        <v/>
      </c>
      <c r="H84" s="19" t="str">
        <f>IF($B84="","",IFERROR(Config!$F$8,0))</f>
        <v/>
      </c>
      <c r="I84" s="21" t="str">
        <f>IF($B84="","",IF(Config!$E$8="",0,SUMIFS('Leave Records'!$I:$I,'Leave Records'!$B:$B,$B84,'Leave Records'!$D:$D,Config!$E$8,'Leave Records'!$K:$K,"Approved")))</f>
        <v/>
      </c>
      <c r="J84" s="22" t="str">
        <f>IF($B84="","",IF(Config!$E$8="",0,SUMIFS('Leave Records'!$I:$I,'Leave Records'!$B:$B,$B84,'Leave Records'!$D:$D,Config!$E$8,'Leave Records'!$K:$K,"Pending")))</f>
        <v/>
      </c>
      <c r="K84" s="9" t="str">
        <f t="shared" si="9"/>
        <v/>
      </c>
      <c r="L84" s="19" t="str">
        <f>IF($B84="","",IFERROR(Config!$F$9,0))</f>
        <v/>
      </c>
      <c r="M84" s="21" t="str">
        <f>IF($B84="","",IF(Config!$E$9="",0,SUMIFS('Leave Records'!$I:$I,'Leave Records'!$B:$B,$B84,'Leave Records'!$D:$D,Config!$E$9,'Leave Records'!$K:$K,"Approved")))</f>
        <v/>
      </c>
      <c r="N84" s="22" t="str">
        <f>IF($B84="","",IF(Config!$E$9="",0,SUMIFS('Leave Records'!$I:$I,'Leave Records'!$B:$B,$B84,'Leave Records'!$D:$D,Config!$E$9,'Leave Records'!$K:$K,"Pending")))</f>
        <v/>
      </c>
      <c r="O84" s="9" t="str">
        <f t="shared" si="10"/>
        <v/>
      </c>
      <c r="P84" s="19" t="str">
        <f>IF($B84="","",IFERROR(Config!$F$10,0))</f>
        <v/>
      </c>
      <c r="Q84" s="21" t="str">
        <f>IF($B84="","",IF(Config!$E$10="",0,SUMIFS('Leave Records'!$I:$I,'Leave Records'!$B:$B,$B84,'Leave Records'!$D:$D,Config!$E$10,'Leave Records'!$K:$K,"Approved")))</f>
        <v/>
      </c>
      <c r="R84" s="22" t="str">
        <f>IF($B84="","",IF(Config!$E$10="",0,SUMIFS('Leave Records'!$I:$I,'Leave Records'!$B:$B,$B84,'Leave Records'!$D:$D,Config!$E$10,'Leave Records'!$K:$K,"Pending")))</f>
        <v/>
      </c>
      <c r="S84" s="9" t="str">
        <f t="shared" si="11"/>
        <v/>
      </c>
      <c r="T84" s="19" t="str">
        <f>IF($B84="","",IFERROR(Config!$F$11,0))</f>
        <v/>
      </c>
      <c r="U84" s="21" t="str">
        <f>IF($B84="","",IF(Config!$E$11="",0,SUMIFS('Leave Records'!$I:$I,'Leave Records'!$B:$B,$B84,'Leave Records'!$D:$D,Config!$E$11,'Leave Records'!$K:$K,"Approved")))</f>
        <v/>
      </c>
      <c r="V84" s="22" t="str">
        <f>IF($B84="","",IF(Config!$E$11="",0,SUMIFS('Leave Records'!$I:$I,'Leave Records'!$B:$B,$B84,'Leave Records'!$D:$D,Config!$E$11,'Leave Records'!$K:$K,"Pending")))</f>
        <v/>
      </c>
      <c r="W84" s="9" t="str">
        <f t="shared" si="12"/>
        <v/>
      </c>
      <c r="X84" s="14" t="str">
        <f t="shared" si="13"/>
        <v/>
      </c>
    </row>
    <row r="85" ht="17" customHeight="1" spans="1:24">
      <c r="A85" s="5" t="str">
        <f t="shared" si="7"/>
        <v/>
      </c>
      <c r="B85" s="6" t="str">
        <f>IF(Config!$B$87="","",Config!$B$87)</f>
        <v/>
      </c>
      <c r="C85" s="7" t="str">
        <f>IF(Config!$B$87="","",Config!$C$87)</f>
        <v/>
      </c>
      <c r="D85" s="19" t="str">
        <f>IF($B85="","",IFERROR(Config!$F$7,0))</f>
        <v/>
      </c>
      <c r="E85" s="10" t="str">
        <f>IF($B85="","",IF(Config!$E$7="",0,SUMIFS('Leave Records'!$I:$I,'Leave Records'!$B:$B,$B85,'Leave Records'!$D:$D,Config!$E$7,'Leave Records'!$K:$K,"Approved")))</f>
        <v/>
      </c>
      <c r="F85" s="20" t="str">
        <f>IF($B85="","",IF(Config!$E$7="",0,SUMIFS('Leave Records'!$I:$I,'Leave Records'!$B:$B,$B85,'Leave Records'!$D:$D,Config!$E$7,'Leave Records'!$K:$K,"Pending")))</f>
        <v/>
      </c>
      <c r="G85" s="8" t="str">
        <f t="shared" si="8"/>
        <v/>
      </c>
      <c r="H85" s="19" t="str">
        <f>IF($B85="","",IFERROR(Config!$F$8,0))</f>
        <v/>
      </c>
      <c r="I85" s="10" t="str">
        <f>IF($B85="","",IF(Config!$E$8="",0,SUMIFS('Leave Records'!$I:$I,'Leave Records'!$B:$B,$B85,'Leave Records'!$D:$D,Config!$E$8,'Leave Records'!$K:$K,"Approved")))</f>
        <v/>
      </c>
      <c r="J85" s="20" t="str">
        <f>IF($B85="","",IF(Config!$E$8="",0,SUMIFS('Leave Records'!$I:$I,'Leave Records'!$B:$B,$B85,'Leave Records'!$D:$D,Config!$E$8,'Leave Records'!$K:$K,"Pending")))</f>
        <v/>
      </c>
      <c r="K85" s="8" t="str">
        <f t="shared" si="9"/>
        <v/>
      </c>
      <c r="L85" s="19" t="str">
        <f>IF($B85="","",IFERROR(Config!$F$9,0))</f>
        <v/>
      </c>
      <c r="M85" s="10" t="str">
        <f>IF($B85="","",IF(Config!$E$9="",0,SUMIFS('Leave Records'!$I:$I,'Leave Records'!$B:$B,$B85,'Leave Records'!$D:$D,Config!$E$9,'Leave Records'!$K:$K,"Approved")))</f>
        <v/>
      </c>
      <c r="N85" s="20" t="str">
        <f>IF($B85="","",IF(Config!$E$9="",0,SUMIFS('Leave Records'!$I:$I,'Leave Records'!$B:$B,$B85,'Leave Records'!$D:$D,Config!$E$9,'Leave Records'!$K:$K,"Pending")))</f>
        <v/>
      </c>
      <c r="O85" s="8" t="str">
        <f t="shared" si="10"/>
        <v/>
      </c>
      <c r="P85" s="19" t="str">
        <f>IF($B85="","",IFERROR(Config!$F$10,0))</f>
        <v/>
      </c>
      <c r="Q85" s="10" t="str">
        <f>IF($B85="","",IF(Config!$E$10="",0,SUMIFS('Leave Records'!$I:$I,'Leave Records'!$B:$B,$B85,'Leave Records'!$D:$D,Config!$E$10,'Leave Records'!$K:$K,"Approved")))</f>
        <v/>
      </c>
      <c r="R85" s="20" t="str">
        <f>IF($B85="","",IF(Config!$E$10="",0,SUMIFS('Leave Records'!$I:$I,'Leave Records'!$B:$B,$B85,'Leave Records'!$D:$D,Config!$E$10,'Leave Records'!$K:$K,"Pending")))</f>
        <v/>
      </c>
      <c r="S85" s="8" t="str">
        <f t="shared" si="11"/>
        <v/>
      </c>
      <c r="T85" s="19" t="str">
        <f>IF($B85="","",IFERROR(Config!$F$11,0))</f>
        <v/>
      </c>
      <c r="U85" s="10" t="str">
        <f>IF($B85="","",IF(Config!$E$11="",0,SUMIFS('Leave Records'!$I:$I,'Leave Records'!$B:$B,$B85,'Leave Records'!$D:$D,Config!$E$11,'Leave Records'!$K:$K,"Approved")))</f>
        <v/>
      </c>
      <c r="V85" s="20" t="str">
        <f>IF($B85="","",IF(Config!$E$11="",0,SUMIFS('Leave Records'!$I:$I,'Leave Records'!$B:$B,$B85,'Leave Records'!$D:$D,Config!$E$11,'Leave Records'!$K:$K,"Pending")))</f>
        <v/>
      </c>
      <c r="W85" s="8" t="str">
        <f t="shared" si="12"/>
        <v/>
      </c>
      <c r="X85" s="11" t="str">
        <f t="shared" si="13"/>
        <v/>
      </c>
    </row>
    <row r="86" ht="17" customHeight="1" spans="1:24">
      <c r="A86" s="5" t="str">
        <f t="shared" si="7"/>
        <v/>
      </c>
      <c r="B86" s="12" t="str">
        <f>IF(Config!$B$88="","",Config!$B$88)</f>
        <v/>
      </c>
      <c r="C86" s="13" t="str">
        <f>IF(Config!$B$88="","",Config!$C$88)</f>
        <v/>
      </c>
      <c r="D86" s="19" t="str">
        <f>IF($B86="","",IFERROR(Config!$F$7,0))</f>
        <v/>
      </c>
      <c r="E86" s="21" t="str">
        <f>IF($B86="","",IF(Config!$E$7="",0,SUMIFS('Leave Records'!$I:$I,'Leave Records'!$B:$B,$B86,'Leave Records'!$D:$D,Config!$E$7,'Leave Records'!$K:$K,"Approved")))</f>
        <v/>
      </c>
      <c r="F86" s="22" t="str">
        <f>IF($B86="","",IF(Config!$E$7="",0,SUMIFS('Leave Records'!$I:$I,'Leave Records'!$B:$B,$B86,'Leave Records'!$D:$D,Config!$E$7,'Leave Records'!$K:$K,"Pending")))</f>
        <v/>
      </c>
      <c r="G86" s="9" t="str">
        <f t="shared" si="8"/>
        <v/>
      </c>
      <c r="H86" s="19" t="str">
        <f>IF($B86="","",IFERROR(Config!$F$8,0))</f>
        <v/>
      </c>
      <c r="I86" s="21" t="str">
        <f>IF($B86="","",IF(Config!$E$8="",0,SUMIFS('Leave Records'!$I:$I,'Leave Records'!$B:$B,$B86,'Leave Records'!$D:$D,Config!$E$8,'Leave Records'!$K:$K,"Approved")))</f>
        <v/>
      </c>
      <c r="J86" s="22" t="str">
        <f>IF($B86="","",IF(Config!$E$8="",0,SUMIFS('Leave Records'!$I:$I,'Leave Records'!$B:$B,$B86,'Leave Records'!$D:$D,Config!$E$8,'Leave Records'!$K:$K,"Pending")))</f>
        <v/>
      </c>
      <c r="K86" s="9" t="str">
        <f t="shared" si="9"/>
        <v/>
      </c>
      <c r="L86" s="19" t="str">
        <f>IF($B86="","",IFERROR(Config!$F$9,0))</f>
        <v/>
      </c>
      <c r="M86" s="21" t="str">
        <f>IF($B86="","",IF(Config!$E$9="",0,SUMIFS('Leave Records'!$I:$I,'Leave Records'!$B:$B,$B86,'Leave Records'!$D:$D,Config!$E$9,'Leave Records'!$K:$K,"Approved")))</f>
        <v/>
      </c>
      <c r="N86" s="22" t="str">
        <f>IF($B86="","",IF(Config!$E$9="",0,SUMIFS('Leave Records'!$I:$I,'Leave Records'!$B:$B,$B86,'Leave Records'!$D:$D,Config!$E$9,'Leave Records'!$K:$K,"Pending")))</f>
        <v/>
      </c>
      <c r="O86" s="9" t="str">
        <f t="shared" si="10"/>
        <v/>
      </c>
      <c r="P86" s="19" t="str">
        <f>IF($B86="","",IFERROR(Config!$F$10,0))</f>
        <v/>
      </c>
      <c r="Q86" s="21" t="str">
        <f>IF($B86="","",IF(Config!$E$10="",0,SUMIFS('Leave Records'!$I:$I,'Leave Records'!$B:$B,$B86,'Leave Records'!$D:$D,Config!$E$10,'Leave Records'!$K:$K,"Approved")))</f>
        <v/>
      </c>
      <c r="R86" s="22" t="str">
        <f>IF($B86="","",IF(Config!$E$10="",0,SUMIFS('Leave Records'!$I:$I,'Leave Records'!$B:$B,$B86,'Leave Records'!$D:$D,Config!$E$10,'Leave Records'!$K:$K,"Pending")))</f>
        <v/>
      </c>
      <c r="S86" s="9" t="str">
        <f t="shared" si="11"/>
        <v/>
      </c>
      <c r="T86" s="19" t="str">
        <f>IF($B86="","",IFERROR(Config!$F$11,0))</f>
        <v/>
      </c>
      <c r="U86" s="21" t="str">
        <f>IF($B86="","",IF(Config!$E$11="",0,SUMIFS('Leave Records'!$I:$I,'Leave Records'!$B:$B,$B86,'Leave Records'!$D:$D,Config!$E$11,'Leave Records'!$K:$K,"Approved")))</f>
        <v/>
      </c>
      <c r="V86" s="22" t="str">
        <f>IF($B86="","",IF(Config!$E$11="",0,SUMIFS('Leave Records'!$I:$I,'Leave Records'!$B:$B,$B86,'Leave Records'!$D:$D,Config!$E$11,'Leave Records'!$K:$K,"Pending")))</f>
        <v/>
      </c>
      <c r="W86" s="9" t="str">
        <f t="shared" si="12"/>
        <v/>
      </c>
      <c r="X86" s="14" t="str">
        <f t="shared" si="13"/>
        <v/>
      </c>
    </row>
    <row r="87" ht="17" customHeight="1" spans="1:24">
      <c r="A87" s="5" t="str">
        <f t="shared" si="7"/>
        <v/>
      </c>
      <c r="B87" s="6" t="str">
        <f>IF(Config!$B$89="","",Config!$B$89)</f>
        <v/>
      </c>
      <c r="C87" s="7" t="str">
        <f>IF(Config!$B$89="","",Config!$C$89)</f>
        <v/>
      </c>
      <c r="D87" s="19" t="str">
        <f>IF($B87="","",IFERROR(Config!$F$7,0))</f>
        <v/>
      </c>
      <c r="E87" s="10" t="str">
        <f>IF($B87="","",IF(Config!$E$7="",0,SUMIFS('Leave Records'!$I:$I,'Leave Records'!$B:$B,$B87,'Leave Records'!$D:$D,Config!$E$7,'Leave Records'!$K:$K,"Approved")))</f>
        <v/>
      </c>
      <c r="F87" s="20" t="str">
        <f>IF($B87="","",IF(Config!$E$7="",0,SUMIFS('Leave Records'!$I:$I,'Leave Records'!$B:$B,$B87,'Leave Records'!$D:$D,Config!$E$7,'Leave Records'!$K:$K,"Pending")))</f>
        <v/>
      </c>
      <c r="G87" s="8" t="str">
        <f t="shared" si="8"/>
        <v/>
      </c>
      <c r="H87" s="19" t="str">
        <f>IF($B87="","",IFERROR(Config!$F$8,0))</f>
        <v/>
      </c>
      <c r="I87" s="10" t="str">
        <f>IF($B87="","",IF(Config!$E$8="",0,SUMIFS('Leave Records'!$I:$I,'Leave Records'!$B:$B,$B87,'Leave Records'!$D:$D,Config!$E$8,'Leave Records'!$K:$K,"Approved")))</f>
        <v/>
      </c>
      <c r="J87" s="20" t="str">
        <f>IF($B87="","",IF(Config!$E$8="",0,SUMIFS('Leave Records'!$I:$I,'Leave Records'!$B:$B,$B87,'Leave Records'!$D:$D,Config!$E$8,'Leave Records'!$K:$K,"Pending")))</f>
        <v/>
      </c>
      <c r="K87" s="8" t="str">
        <f t="shared" si="9"/>
        <v/>
      </c>
      <c r="L87" s="19" t="str">
        <f>IF($B87="","",IFERROR(Config!$F$9,0))</f>
        <v/>
      </c>
      <c r="M87" s="10" t="str">
        <f>IF($B87="","",IF(Config!$E$9="",0,SUMIFS('Leave Records'!$I:$I,'Leave Records'!$B:$B,$B87,'Leave Records'!$D:$D,Config!$E$9,'Leave Records'!$K:$K,"Approved")))</f>
        <v/>
      </c>
      <c r="N87" s="20" t="str">
        <f>IF($B87="","",IF(Config!$E$9="",0,SUMIFS('Leave Records'!$I:$I,'Leave Records'!$B:$B,$B87,'Leave Records'!$D:$D,Config!$E$9,'Leave Records'!$K:$K,"Pending")))</f>
        <v/>
      </c>
      <c r="O87" s="8" t="str">
        <f t="shared" si="10"/>
        <v/>
      </c>
      <c r="P87" s="19" t="str">
        <f>IF($B87="","",IFERROR(Config!$F$10,0))</f>
        <v/>
      </c>
      <c r="Q87" s="10" t="str">
        <f>IF($B87="","",IF(Config!$E$10="",0,SUMIFS('Leave Records'!$I:$I,'Leave Records'!$B:$B,$B87,'Leave Records'!$D:$D,Config!$E$10,'Leave Records'!$K:$K,"Approved")))</f>
        <v/>
      </c>
      <c r="R87" s="20" t="str">
        <f>IF($B87="","",IF(Config!$E$10="",0,SUMIFS('Leave Records'!$I:$I,'Leave Records'!$B:$B,$B87,'Leave Records'!$D:$D,Config!$E$10,'Leave Records'!$K:$K,"Pending")))</f>
        <v/>
      </c>
      <c r="S87" s="8" t="str">
        <f t="shared" si="11"/>
        <v/>
      </c>
      <c r="T87" s="19" t="str">
        <f>IF($B87="","",IFERROR(Config!$F$11,0))</f>
        <v/>
      </c>
      <c r="U87" s="10" t="str">
        <f>IF($B87="","",IF(Config!$E$11="",0,SUMIFS('Leave Records'!$I:$I,'Leave Records'!$B:$B,$B87,'Leave Records'!$D:$D,Config!$E$11,'Leave Records'!$K:$K,"Approved")))</f>
        <v/>
      </c>
      <c r="V87" s="20" t="str">
        <f>IF($B87="","",IF(Config!$E$11="",0,SUMIFS('Leave Records'!$I:$I,'Leave Records'!$B:$B,$B87,'Leave Records'!$D:$D,Config!$E$11,'Leave Records'!$K:$K,"Pending")))</f>
        <v/>
      </c>
      <c r="W87" s="8" t="str">
        <f t="shared" si="12"/>
        <v/>
      </c>
      <c r="X87" s="11" t="str">
        <f t="shared" si="13"/>
        <v/>
      </c>
    </row>
    <row r="88" ht="17" customHeight="1" spans="1:24">
      <c r="A88" s="5" t="str">
        <f t="shared" si="7"/>
        <v/>
      </c>
      <c r="B88" s="12" t="str">
        <f>IF(Config!$B$90="","",Config!$B$90)</f>
        <v/>
      </c>
      <c r="C88" s="13" t="str">
        <f>IF(Config!$B$90="","",Config!$C$90)</f>
        <v/>
      </c>
      <c r="D88" s="19" t="str">
        <f>IF($B88="","",IFERROR(Config!$F$7,0))</f>
        <v/>
      </c>
      <c r="E88" s="21" t="str">
        <f>IF($B88="","",IF(Config!$E$7="",0,SUMIFS('Leave Records'!$I:$I,'Leave Records'!$B:$B,$B88,'Leave Records'!$D:$D,Config!$E$7,'Leave Records'!$K:$K,"Approved")))</f>
        <v/>
      </c>
      <c r="F88" s="22" t="str">
        <f>IF($B88="","",IF(Config!$E$7="",0,SUMIFS('Leave Records'!$I:$I,'Leave Records'!$B:$B,$B88,'Leave Records'!$D:$D,Config!$E$7,'Leave Records'!$K:$K,"Pending")))</f>
        <v/>
      </c>
      <c r="G88" s="9" t="str">
        <f t="shared" si="8"/>
        <v/>
      </c>
      <c r="H88" s="19" t="str">
        <f>IF($B88="","",IFERROR(Config!$F$8,0))</f>
        <v/>
      </c>
      <c r="I88" s="21" t="str">
        <f>IF($B88="","",IF(Config!$E$8="",0,SUMIFS('Leave Records'!$I:$I,'Leave Records'!$B:$B,$B88,'Leave Records'!$D:$D,Config!$E$8,'Leave Records'!$K:$K,"Approved")))</f>
        <v/>
      </c>
      <c r="J88" s="22" t="str">
        <f>IF($B88="","",IF(Config!$E$8="",0,SUMIFS('Leave Records'!$I:$I,'Leave Records'!$B:$B,$B88,'Leave Records'!$D:$D,Config!$E$8,'Leave Records'!$K:$K,"Pending")))</f>
        <v/>
      </c>
      <c r="K88" s="9" t="str">
        <f t="shared" si="9"/>
        <v/>
      </c>
      <c r="L88" s="19" t="str">
        <f>IF($B88="","",IFERROR(Config!$F$9,0))</f>
        <v/>
      </c>
      <c r="M88" s="21" t="str">
        <f>IF($B88="","",IF(Config!$E$9="",0,SUMIFS('Leave Records'!$I:$I,'Leave Records'!$B:$B,$B88,'Leave Records'!$D:$D,Config!$E$9,'Leave Records'!$K:$K,"Approved")))</f>
        <v/>
      </c>
      <c r="N88" s="22" t="str">
        <f>IF($B88="","",IF(Config!$E$9="",0,SUMIFS('Leave Records'!$I:$I,'Leave Records'!$B:$B,$B88,'Leave Records'!$D:$D,Config!$E$9,'Leave Records'!$K:$K,"Pending")))</f>
        <v/>
      </c>
      <c r="O88" s="9" t="str">
        <f t="shared" si="10"/>
        <v/>
      </c>
      <c r="P88" s="19" t="str">
        <f>IF($B88="","",IFERROR(Config!$F$10,0))</f>
        <v/>
      </c>
      <c r="Q88" s="21" t="str">
        <f>IF($B88="","",IF(Config!$E$10="",0,SUMIFS('Leave Records'!$I:$I,'Leave Records'!$B:$B,$B88,'Leave Records'!$D:$D,Config!$E$10,'Leave Records'!$K:$K,"Approved")))</f>
        <v/>
      </c>
      <c r="R88" s="22" t="str">
        <f>IF($B88="","",IF(Config!$E$10="",0,SUMIFS('Leave Records'!$I:$I,'Leave Records'!$B:$B,$B88,'Leave Records'!$D:$D,Config!$E$10,'Leave Records'!$K:$K,"Pending")))</f>
        <v/>
      </c>
      <c r="S88" s="9" t="str">
        <f t="shared" si="11"/>
        <v/>
      </c>
      <c r="T88" s="19" t="str">
        <f>IF($B88="","",IFERROR(Config!$F$11,0))</f>
        <v/>
      </c>
      <c r="U88" s="21" t="str">
        <f>IF($B88="","",IF(Config!$E$11="",0,SUMIFS('Leave Records'!$I:$I,'Leave Records'!$B:$B,$B88,'Leave Records'!$D:$D,Config!$E$11,'Leave Records'!$K:$K,"Approved")))</f>
        <v/>
      </c>
      <c r="V88" s="22" t="str">
        <f>IF($B88="","",IF(Config!$E$11="",0,SUMIFS('Leave Records'!$I:$I,'Leave Records'!$B:$B,$B88,'Leave Records'!$D:$D,Config!$E$11,'Leave Records'!$K:$K,"Pending")))</f>
        <v/>
      </c>
      <c r="W88" s="9" t="str">
        <f t="shared" si="12"/>
        <v/>
      </c>
      <c r="X88" s="14" t="str">
        <f t="shared" si="13"/>
        <v/>
      </c>
    </row>
    <row r="89" ht="17" customHeight="1" spans="1:24">
      <c r="A89" s="5" t="str">
        <f t="shared" si="7"/>
        <v/>
      </c>
      <c r="B89" s="6" t="str">
        <f>IF(Config!$B$91="","",Config!$B$91)</f>
        <v/>
      </c>
      <c r="C89" s="7" t="str">
        <f>IF(Config!$B$91="","",Config!$C$91)</f>
        <v/>
      </c>
      <c r="D89" s="19" t="str">
        <f>IF($B89="","",IFERROR(Config!$F$7,0))</f>
        <v/>
      </c>
      <c r="E89" s="10" t="str">
        <f>IF($B89="","",IF(Config!$E$7="",0,SUMIFS('Leave Records'!$I:$I,'Leave Records'!$B:$B,$B89,'Leave Records'!$D:$D,Config!$E$7,'Leave Records'!$K:$K,"Approved")))</f>
        <v/>
      </c>
      <c r="F89" s="20" t="str">
        <f>IF($B89="","",IF(Config!$E$7="",0,SUMIFS('Leave Records'!$I:$I,'Leave Records'!$B:$B,$B89,'Leave Records'!$D:$D,Config!$E$7,'Leave Records'!$K:$K,"Pending")))</f>
        <v/>
      </c>
      <c r="G89" s="8" t="str">
        <f t="shared" si="8"/>
        <v/>
      </c>
      <c r="H89" s="19" t="str">
        <f>IF($B89="","",IFERROR(Config!$F$8,0))</f>
        <v/>
      </c>
      <c r="I89" s="10" t="str">
        <f>IF($B89="","",IF(Config!$E$8="",0,SUMIFS('Leave Records'!$I:$I,'Leave Records'!$B:$B,$B89,'Leave Records'!$D:$D,Config!$E$8,'Leave Records'!$K:$K,"Approved")))</f>
        <v/>
      </c>
      <c r="J89" s="20" t="str">
        <f>IF($B89="","",IF(Config!$E$8="",0,SUMIFS('Leave Records'!$I:$I,'Leave Records'!$B:$B,$B89,'Leave Records'!$D:$D,Config!$E$8,'Leave Records'!$K:$K,"Pending")))</f>
        <v/>
      </c>
      <c r="K89" s="8" t="str">
        <f t="shared" si="9"/>
        <v/>
      </c>
      <c r="L89" s="19" t="str">
        <f>IF($B89="","",IFERROR(Config!$F$9,0))</f>
        <v/>
      </c>
      <c r="M89" s="10" t="str">
        <f>IF($B89="","",IF(Config!$E$9="",0,SUMIFS('Leave Records'!$I:$I,'Leave Records'!$B:$B,$B89,'Leave Records'!$D:$D,Config!$E$9,'Leave Records'!$K:$K,"Approved")))</f>
        <v/>
      </c>
      <c r="N89" s="20" t="str">
        <f>IF($B89="","",IF(Config!$E$9="",0,SUMIFS('Leave Records'!$I:$I,'Leave Records'!$B:$B,$B89,'Leave Records'!$D:$D,Config!$E$9,'Leave Records'!$K:$K,"Pending")))</f>
        <v/>
      </c>
      <c r="O89" s="8" t="str">
        <f t="shared" si="10"/>
        <v/>
      </c>
      <c r="P89" s="19" t="str">
        <f>IF($B89="","",IFERROR(Config!$F$10,0))</f>
        <v/>
      </c>
      <c r="Q89" s="10" t="str">
        <f>IF($B89="","",IF(Config!$E$10="",0,SUMIFS('Leave Records'!$I:$I,'Leave Records'!$B:$B,$B89,'Leave Records'!$D:$D,Config!$E$10,'Leave Records'!$K:$K,"Approved")))</f>
        <v/>
      </c>
      <c r="R89" s="20" t="str">
        <f>IF($B89="","",IF(Config!$E$10="",0,SUMIFS('Leave Records'!$I:$I,'Leave Records'!$B:$B,$B89,'Leave Records'!$D:$D,Config!$E$10,'Leave Records'!$K:$K,"Pending")))</f>
        <v/>
      </c>
      <c r="S89" s="8" t="str">
        <f t="shared" si="11"/>
        <v/>
      </c>
      <c r="T89" s="19" t="str">
        <f>IF($B89="","",IFERROR(Config!$F$11,0))</f>
        <v/>
      </c>
      <c r="U89" s="10" t="str">
        <f>IF($B89="","",IF(Config!$E$11="",0,SUMIFS('Leave Records'!$I:$I,'Leave Records'!$B:$B,$B89,'Leave Records'!$D:$D,Config!$E$11,'Leave Records'!$K:$K,"Approved")))</f>
        <v/>
      </c>
      <c r="V89" s="20" t="str">
        <f>IF($B89="","",IF(Config!$E$11="",0,SUMIFS('Leave Records'!$I:$I,'Leave Records'!$B:$B,$B89,'Leave Records'!$D:$D,Config!$E$11,'Leave Records'!$K:$K,"Pending")))</f>
        <v/>
      </c>
      <c r="W89" s="8" t="str">
        <f t="shared" si="12"/>
        <v/>
      </c>
      <c r="X89" s="11" t="str">
        <f t="shared" si="13"/>
        <v/>
      </c>
    </row>
    <row r="90" ht="17" customHeight="1" spans="1:24">
      <c r="A90" s="5" t="str">
        <f t="shared" si="7"/>
        <v/>
      </c>
      <c r="B90" s="12" t="str">
        <f>IF(Config!$B$92="","",Config!$B$92)</f>
        <v/>
      </c>
      <c r="C90" s="13" t="str">
        <f>IF(Config!$B$92="","",Config!$C$92)</f>
        <v/>
      </c>
      <c r="D90" s="19" t="str">
        <f>IF($B90="","",IFERROR(Config!$F$7,0))</f>
        <v/>
      </c>
      <c r="E90" s="21" t="str">
        <f>IF($B90="","",IF(Config!$E$7="",0,SUMIFS('Leave Records'!$I:$I,'Leave Records'!$B:$B,$B90,'Leave Records'!$D:$D,Config!$E$7,'Leave Records'!$K:$K,"Approved")))</f>
        <v/>
      </c>
      <c r="F90" s="22" t="str">
        <f>IF($B90="","",IF(Config!$E$7="",0,SUMIFS('Leave Records'!$I:$I,'Leave Records'!$B:$B,$B90,'Leave Records'!$D:$D,Config!$E$7,'Leave Records'!$K:$K,"Pending")))</f>
        <v/>
      </c>
      <c r="G90" s="9" t="str">
        <f t="shared" si="8"/>
        <v/>
      </c>
      <c r="H90" s="19" t="str">
        <f>IF($B90="","",IFERROR(Config!$F$8,0))</f>
        <v/>
      </c>
      <c r="I90" s="21" t="str">
        <f>IF($B90="","",IF(Config!$E$8="",0,SUMIFS('Leave Records'!$I:$I,'Leave Records'!$B:$B,$B90,'Leave Records'!$D:$D,Config!$E$8,'Leave Records'!$K:$K,"Approved")))</f>
        <v/>
      </c>
      <c r="J90" s="22" t="str">
        <f>IF($B90="","",IF(Config!$E$8="",0,SUMIFS('Leave Records'!$I:$I,'Leave Records'!$B:$B,$B90,'Leave Records'!$D:$D,Config!$E$8,'Leave Records'!$K:$K,"Pending")))</f>
        <v/>
      </c>
      <c r="K90" s="9" t="str">
        <f t="shared" si="9"/>
        <v/>
      </c>
      <c r="L90" s="19" t="str">
        <f>IF($B90="","",IFERROR(Config!$F$9,0))</f>
        <v/>
      </c>
      <c r="M90" s="21" t="str">
        <f>IF($B90="","",IF(Config!$E$9="",0,SUMIFS('Leave Records'!$I:$I,'Leave Records'!$B:$B,$B90,'Leave Records'!$D:$D,Config!$E$9,'Leave Records'!$K:$K,"Approved")))</f>
        <v/>
      </c>
      <c r="N90" s="22" t="str">
        <f>IF($B90="","",IF(Config!$E$9="",0,SUMIFS('Leave Records'!$I:$I,'Leave Records'!$B:$B,$B90,'Leave Records'!$D:$D,Config!$E$9,'Leave Records'!$K:$K,"Pending")))</f>
        <v/>
      </c>
      <c r="O90" s="9" t="str">
        <f t="shared" si="10"/>
        <v/>
      </c>
      <c r="P90" s="19" t="str">
        <f>IF($B90="","",IFERROR(Config!$F$10,0))</f>
        <v/>
      </c>
      <c r="Q90" s="21" t="str">
        <f>IF($B90="","",IF(Config!$E$10="",0,SUMIFS('Leave Records'!$I:$I,'Leave Records'!$B:$B,$B90,'Leave Records'!$D:$D,Config!$E$10,'Leave Records'!$K:$K,"Approved")))</f>
        <v/>
      </c>
      <c r="R90" s="22" t="str">
        <f>IF($B90="","",IF(Config!$E$10="",0,SUMIFS('Leave Records'!$I:$I,'Leave Records'!$B:$B,$B90,'Leave Records'!$D:$D,Config!$E$10,'Leave Records'!$K:$K,"Pending")))</f>
        <v/>
      </c>
      <c r="S90" s="9" t="str">
        <f t="shared" si="11"/>
        <v/>
      </c>
      <c r="T90" s="19" t="str">
        <f>IF($B90="","",IFERROR(Config!$F$11,0))</f>
        <v/>
      </c>
      <c r="U90" s="21" t="str">
        <f>IF($B90="","",IF(Config!$E$11="",0,SUMIFS('Leave Records'!$I:$I,'Leave Records'!$B:$B,$B90,'Leave Records'!$D:$D,Config!$E$11,'Leave Records'!$K:$K,"Approved")))</f>
        <v/>
      </c>
      <c r="V90" s="22" t="str">
        <f>IF($B90="","",IF(Config!$E$11="",0,SUMIFS('Leave Records'!$I:$I,'Leave Records'!$B:$B,$B90,'Leave Records'!$D:$D,Config!$E$11,'Leave Records'!$K:$K,"Pending")))</f>
        <v/>
      </c>
      <c r="W90" s="9" t="str">
        <f t="shared" si="12"/>
        <v/>
      </c>
      <c r="X90" s="14" t="str">
        <f t="shared" si="13"/>
        <v/>
      </c>
    </row>
    <row r="91" ht="17" customHeight="1" spans="1:24">
      <c r="A91" s="5" t="str">
        <f t="shared" si="7"/>
        <v/>
      </c>
      <c r="B91" s="6" t="str">
        <f>IF(Config!$B$93="","",Config!$B$93)</f>
        <v/>
      </c>
      <c r="C91" s="7" t="str">
        <f>IF(Config!$B$93="","",Config!$C$93)</f>
        <v/>
      </c>
      <c r="D91" s="19" t="str">
        <f>IF($B91="","",IFERROR(Config!$F$7,0))</f>
        <v/>
      </c>
      <c r="E91" s="10" t="str">
        <f>IF($B91="","",IF(Config!$E$7="",0,SUMIFS('Leave Records'!$I:$I,'Leave Records'!$B:$B,$B91,'Leave Records'!$D:$D,Config!$E$7,'Leave Records'!$K:$K,"Approved")))</f>
        <v/>
      </c>
      <c r="F91" s="20" t="str">
        <f>IF($B91="","",IF(Config!$E$7="",0,SUMIFS('Leave Records'!$I:$I,'Leave Records'!$B:$B,$B91,'Leave Records'!$D:$D,Config!$E$7,'Leave Records'!$K:$K,"Pending")))</f>
        <v/>
      </c>
      <c r="G91" s="8" t="str">
        <f t="shared" si="8"/>
        <v/>
      </c>
      <c r="H91" s="19" t="str">
        <f>IF($B91="","",IFERROR(Config!$F$8,0))</f>
        <v/>
      </c>
      <c r="I91" s="10" t="str">
        <f>IF($B91="","",IF(Config!$E$8="",0,SUMIFS('Leave Records'!$I:$I,'Leave Records'!$B:$B,$B91,'Leave Records'!$D:$D,Config!$E$8,'Leave Records'!$K:$K,"Approved")))</f>
        <v/>
      </c>
      <c r="J91" s="20" t="str">
        <f>IF($B91="","",IF(Config!$E$8="",0,SUMIFS('Leave Records'!$I:$I,'Leave Records'!$B:$B,$B91,'Leave Records'!$D:$D,Config!$E$8,'Leave Records'!$K:$K,"Pending")))</f>
        <v/>
      </c>
      <c r="K91" s="8" t="str">
        <f t="shared" si="9"/>
        <v/>
      </c>
      <c r="L91" s="19" t="str">
        <f>IF($B91="","",IFERROR(Config!$F$9,0))</f>
        <v/>
      </c>
      <c r="M91" s="10" t="str">
        <f>IF($B91="","",IF(Config!$E$9="",0,SUMIFS('Leave Records'!$I:$I,'Leave Records'!$B:$B,$B91,'Leave Records'!$D:$D,Config!$E$9,'Leave Records'!$K:$K,"Approved")))</f>
        <v/>
      </c>
      <c r="N91" s="20" t="str">
        <f>IF($B91="","",IF(Config!$E$9="",0,SUMIFS('Leave Records'!$I:$I,'Leave Records'!$B:$B,$B91,'Leave Records'!$D:$D,Config!$E$9,'Leave Records'!$K:$K,"Pending")))</f>
        <v/>
      </c>
      <c r="O91" s="8" t="str">
        <f t="shared" si="10"/>
        <v/>
      </c>
      <c r="P91" s="19" t="str">
        <f>IF($B91="","",IFERROR(Config!$F$10,0))</f>
        <v/>
      </c>
      <c r="Q91" s="10" t="str">
        <f>IF($B91="","",IF(Config!$E$10="",0,SUMIFS('Leave Records'!$I:$I,'Leave Records'!$B:$B,$B91,'Leave Records'!$D:$D,Config!$E$10,'Leave Records'!$K:$K,"Approved")))</f>
        <v/>
      </c>
      <c r="R91" s="20" t="str">
        <f>IF($B91="","",IF(Config!$E$10="",0,SUMIFS('Leave Records'!$I:$I,'Leave Records'!$B:$B,$B91,'Leave Records'!$D:$D,Config!$E$10,'Leave Records'!$K:$K,"Pending")))</f>
        <v/>
      </c>
      <c r="S91" s="8" t="str">
        <f t="shared" si="11"/>
        <v/>
      </c>
      <c r="T91" s="19" t="str">
        <f>IF($B91="","",IFERROR(Config!$F$11,0))</f>
        <v/>
      </c>
      <c r="U91" s="10" t="str">
        <f>IF($B91="","",IF(Config!$E$11="",0,SUMIFS('Leave Records'!$I:$I,'Leave Records'!$B:$B,$B91,'Leave Records'!$D:$D,Config!$E$11,'Leave Records'!$K:$K,"Approved")))</f>
        <v/>
      </c>
      <c r="V91" s="20" t="str">
        <f>IF($B91="","",IF(Config!$E$11="",0,SUMIFS('Leave Records'!$I:$I,'Leave Records'!$B:$B,$B91,'Leave Records'!$D:$D,Config!$E$11,'Leave Records'!$K:$K,"Pending")))</f>
        <v/>
      </c>
      <c r="W91" s="8" t="str">
        <f t="shared" si="12"/>
        <v/>
      </c>
      <c r="X91" s="11" t="str">
        <f t="shared" si="13"/>
        <v/>
      </c>
    </row>
    <row r="92" ht="17" customHeight="1" spans="1:24">
      <c r="A92" s="5" t="str">
        <f t="shared" si="7"/>
        <v/>
      </c>
      <c r="B92" s="12" t="str">
        <f>IF(Config!$B$94="","",Config!$B$94)</f>
        <v/>
      </c>
      <c r="C92" s="13" t="str">
        <f>IF(Config!$B$94="","",Config!$C$94)</f>
        <v/>
      </c>
      <c r="D92" s="19" t="str">
        <f>IF($B92="","",IFERROR(Config!$F$7,0))</f>
        <v/>
      </c>
      <c r="E92" s="21" t="str">
        <f>IF($B92="","",IF(Config!$E$7="",0,SUMIFS('Leave Records'!$I:$I,'Leave Records'!$B:$B,$B92,'Leave Records'!$D:$D,Config!$E$7,'Leave Records'!$K:$K,"Approved")))</f>
        <v/>
      </c>
      <c r="F92" s="22" t="str">
        <f>IF($B92="","",IF(Config!$E$7="",0,SUMIFS('Leave Records'!$I:$I,'Leave Records'!$B:$B,$B92,'Leave Records'!$D:$D,Config!$E$7,'Leave Records'!$K:$K,"Pending")))</f>
        <v/>
      </c>
      <c r="G92" s="9" t="str">
        <f t="shared" si="8"/>
        <v/>
      </c>
      <c r="H92" s="19" t="str">
        <f>IF($B92="","",IFERROR(Config!$F$8,0))</f>
        <v/>
      </c>
      <c r="I92" s="21" t="str">
        <f>IF($B92="","",IF(Config!$E$8="",0,SUMIFS('Leave Records'!$I:$I,'Leave Records'!$B:$B,$B92,'Leave Records'!$D:$D,Config!$E$8,'Leave Records'!$K:$K,"Approved")))</f>
        <v/>
      </c>
      <c r="J92" s="22" t="str">
        <f>IF($B92="","",IF(Config!$E$8="",0,SUMIFS('Leave Records'!$I:$I,'Leave Records'!$B:$B,$B92,'Leave Records'!$D:$D,Config!$E$8,'Leave Records'!$K:$K,"Pending")))</f>
        <v/>
      </c>
      <c r="K92" s="9" t="str">
        <f t="shared" si="9"/>
        <v/>
      </c>
      <c r="L92" s="19" t="str">
        <f>IF($B92="","",IFERROR(Config!$F$9,0))</f>
        <v/>
      </c>
      <c r="M92" s="21" t="str">
        <f>IF($B92="","",IF(Config!$E$9="",0,SUMIFS('Leave Records'!$I:$I,'Leave Records'!$B:$B,$B92,'Leave Records'!$D:$D,Config!$E$9,'Leave Records'!$K:$K,"Approved")))</f>
        <v/>
      </c>
      <c r="N92" s="22" t="str">
        <f>IF($B92="","",IF(Config!$E$9="",0,SUMIFS('Leave Records'!$I:$I,'Leave Records'!$B:$B,$B92,'Leave Records'!$D:$D,Config!$E$9,'Leave Records'!$K:$K,"Pending")))</f>
        <v/>
      </c>
      <c r="O92" s="9" t="str">
        <f t="shared" si="10"/>
        <v/>
      </c>
      <c r="P92" s="19" t="str">
        <f>IF($B92="","",IFERROR(Config!$F$10,0))</f>
        <v/>
      </c>
      <c r="Q92" s="21" t="str">
        <f>IF($B92="","",IF(Config!$E$10="",0,SUMIFS('Leave Records'!$I:$I,'Leave Records'!$B:$B,$B92,'Leave Records'!$D:$D,Config!$E$10,'Leave Records'!$K:$K,"Approved")))</f>
        <v/>
      </c>
      <c r="R92" s="22" t="str">
        <f>IF($B92="","",IF(Config!$E$10="",0,SUMIFS('Leave Records'!$I:$I,'Leave Records'!$B:$B,$B92,'Leave Records'!$D:$D,Config!$E$10,'Leave Records'!$K:$K,"Pending")))</f>
        <v/>
      </c>
      <c r="S92" s="9" t="str">
        <f t="shared" si="11"/>
        <v/>
      </c>
      <c r="T92" s="19" t="str">
        <f>IF($B92="","",IFERROR(Config!$F$11,0))</f>
        <v/>
      </c>
      <c r="U92" s="21" t="str">
        <f>IF($B92="","",IF(Config!$E$11="",0,SUMIFS('Leave Records'!$I:$I,'Leave Records'!$B:$B,$B92,'Leave Records'!$D:$D,Config!$E$11,'Leave Records'!$K:$K,"Approved")))</f>
        <v/>
      </c>
      <c r="V92" s="22" t="str">
        <f>IF($B92="","",IF(Config!$E$11="",0,SUMIFS('Leave Records'!$I:$I,'Leave Records'!$B:$B,$B92,'Leave Records'!$D:$D,Config!$E$11,'Leave Records'!$K:$K,"Pending")))</f>
        <v/>
      </c>
      <c r="W92" s="9" t="str">
        <f t="shared" si="12"/>
        <v/>
      </c>
      <c r="X92" s="14" t="str">
        <f t="shared" si="13"/>
        <v/>
      </c>
    </row>
    <row r="93" ht="17" customHeight="1" spans="1:24">
      <c r="A93" s="5" t="str">
        <f t="shared" si="7"/>
        <v/>
      </c>
      <c r="B93" s="6" t="str">
        <f>IF(Config!$B$95="","",Config!$B$95)</f>
        <v/>
      </c>
      <c r="C93" s="7" t="str">
        <f>IF(Config!$B$95="","",Config!$C$95)</f>
        <v/>
      </c>
      <c r="D93" s="19" t="str">
        <f>IF($B93="","",IFERROR(Config!$F$7,0))</f>
        <v/>
      </c>
      <c r="E93" s="10" t="str">
        <f>IF($B93="","",IF(Config!$E$7="",0,SUMIFS('Leave Records'!$I:$I,'Leave Records'!$B:$B,$B93,'Leave Records'!$D:$D,Config!$E$7,'Leave Records'!$K:$K,"Approved")))</f>
        <v/>
      </c>
      <c r="F93" s="20" t="str">
        <f>IF($B93="","",IF(Config!$E$7="",0,SUMIFS('Leave Records'!$I:$I,'Leave Records'!$B:$B,$B93,'Leave Records'!$D:$D,Config!$E$7,'Leave Records'!$K:$K,"Pending")))</f>
        <v/>
      </c>
      <c r="G93" s="8" t="str">
        <f t="shared" si="8"/>
        <v/>
      </c>
      <c r="H93" s="19" t="str">
        <f>IF($B93="","",IFERROR(Config!$F$8,0))</f>
        <v/>
      </c>
      <c r="I93" s="10" t="str">
        <f>IF($B93="","",IF(Config!$E$8="",0,SUMIFS('Leave Records'!$I:$I,'Leave Records'!$B:$B,$B93,'Leave Records'!$D:$D,Config!$E$8,'Leave Records'!$K:$K,"Approved")))</f>
        <v/>
      </c>
      <c r="J93" s="20" t="str">
        <f>IF($B93="","",IF(Config!$E$8="",0,SUMIFS('Leave Records'!$I:$I,'Leave Records'!$B:$B,$B93,'Leave Records'!$D:$D,Config!$E$8,'Leave Records'!$K:$K,"Pending")))</f>
        <v/>
      </c>
      <c r="K93" s="8" t="str">
        <f t="shared" si="9"/>
        <v/>
      </c>
      <c r="L93" s="19" t="str">
        <f>IF($B93="","",IFERROR(Config!$F$9,0))</f>
        <v/>
      </c>
      <c r="M93" s="10" t="str">
        <f>IF($B93="","",IF(Config!$E$9="",0,SUMIFS('Leave Records'!$I:$I,'Leave Records'!$B:$B,$B93,'Leave Records'!$D:$D,Config!$E$9,'Leave Records'!$K:$K,"Approved")))</f>
        <v/>
      </c>
      <c r="N93" s="20" t="str">
        <f>IF($B93="","",IF(Config!$E$9="",0,SUMIFS('Leave Records'!$I:$I,'Leave Records'!$B:$B,$B93,'Leave Records'!$D:$D,Config!$E$9,'Leave Records'!$K:$K,"Pending")))</f>
        <v/>
      </c>
      <c r="O93" s="8" t="str">
        <f t="shared" si="10"/>
        <v/>
      </c>
      <c r="P93" s="19" t="str">
        <f>IF($B93="","",IFERROR(Config!$F$10,0))</f>
        <v/>
      </c>
      <c r="Q93" s="10" t="str">
        <f>IF($B93="","",IF(Config!$E$10="",0,SUMIFS('Leave Records'!$I:$I,'Leave Records'!$B:$B,$B93,'Leave Records'!$D:$D,Config!$E$10,'Leave Records'!$K:$K,"Approved")))</f>
        <v/>
      </c>
      <c r="R93" s="20" t="str">
        <f>IF($B93="","",IF(Config!$E$10="",0,SUMIFS('Leave Records'!$I:$I,'Leave Records'!$B:$B,$B93,'Leave Records'!$D:$D,Config!$E$10,'Leave Records'!$K:$K,"Pending")))</f>
        <v/>
      </c>
      <c r="S93" s="8" t="str">
        <f t="shared" si="11"/>
        <v/>
      </c>
      <c r="T93" s="19" t="str">
        <f>IF($B93="","",IFERROR(Config!$F$11,0))</f>
        <v/>
      </c>
      <c r="U93" s="10" t="str">
        <f>IF($B93="","",IF(Config!$E$11="",0,SUMIFS('Leave Records'!$I:$I,'Leave Records'!$B:$B,$B93,'Leave Records'!$D:$D,Config!$E$11,'Leave Records'!$K:$K,"Approved")))</f>
        <v/>
      </c>
      <c r="V93" s="20" t="str">
        <f>IF($B93="","",IF(Config!$E$11="",0,SUMIFS('Leave Records'!$I:$I,'Leave Records'!$B:$B,$B93,'Leave Records'!$D:$D,Config!$E$11,'Leave Records'!$K:$K,"Pending")))</f>
        <v/>
      </c>
      <c r="W93" s="8" t="str">
        <f t="shared" si="12"/>
        <v/>
      </c>
      <c r="X93" s="11" t="str">
        <f t="shared" si="13"/>
        <v/>
      </c>
    </row>
    <row r="94" ht="17" customHeight="1" spans="1:24">
      <c r="A94" s="5" t="str">
        <f t="shared" si="7"/>
        <v/>
      </c>
      <c r="B94" s="12" t="str">
        <f>IF(Config!$B$96="","",Config!$B$96)</f>
        <v/>
      </c>
      <c r="C94" s="13" t="str">
        <f>IF(Config!$B$96="","",Config!$C$96)</f>
        <v/>
      </c>
      <c r="D94" s="19" t="str">
        <f>IF($B94="","",IFERROR(Config!$F$7,0))</f>
        <v/>
      </c>
      <c r="E94" s="21" t="str">
        <f>IF($B94="","",IF(Config!$E$7="",0,SUMIFS('Leave Records'!$I:$I,'Leave Records'!$B:$B,$B94,'Leave Records'!$D:$D,Config!$E$7,'Leave Records'!$K:$K,"Approved")))</f>
        <v/>
      </c>
      <c r="F94" s="22" t="str">
        <f>IF($B94="","",IF(Config!$E$7="",0,SUMIFS('Leave Records'!$I:$I,'Leave Records'!$B:$B,$B94,'Leave Records'!$D:$D,Config!$E$7,'Leave Records'!$K:$K,"Pending")))</f>
        <v/>
      </c>
      <c r="G94" s="9" t="str">
        <f t="shared" si="8"/>
        <v/>
      </c>
      <c r="H94" s="19" t="str">
        <f>IF($B94="","",IFERROR(Config!$F$8,0))</f>
        <v/>
      </c>
      <c r="I94" s="21" t="str">
        <f>IF($B94="","",IF(Config!$E$8="",0,SUMIFS('Leave Records'!$I:$I,'Leave Records'!$B:$B,$B94,'Leave Records'!$D:$D,Config!$E$8,'Leave Records'!$K:$K,"Approved")))</f>
        <v/>
      </c>
      <c r="J94" s="22" t="str">
        <f>IF($B94="","",IF(Config!$E$8="",0,SUMIFS('Leave Records'!$I:$I,'Leave Records'!$B:$B,$B94,'Leave Records'!$D:$D,Config!$E$8,'Leave Records'!$K:$K,"Pending")))</f>
        <v/>
      </c>
      <c r="K94" s="9" t="str">
        <f t="shared" si="9"/>
        <v/>
      </c>
      <c r="L94" s="19" t="str">
        <f>IF($B94="","",IFERROR(Config!$F$9,0))</f>
        <v/>
      </c>
      <c r="M94" s="21" t="str">
        <f>IF($B94="","",IF(Config!$E$9="",0,SUMIFS('Leave Records'!$I:$I,'Leave Records'!$B:$B,$B94,'Leave Records'!$D:$D,Config!$E$9,'Leave Records'!$K:$K,"Approved")))</f>
        <v/>
      </c>
      <c r="N94" s="22" t="str">
        <f>IF($B94="","",IF(Config!$E$9="",0,SUMIFS('Leave Records'!$I:$I,'Leave Records'!$B:$B,$B94,'Leave Records'!$D:$D,Config!$E$9,'Leave Records'!$K:$K,"Pending")))</f>
        <v/>
      </c>
      <c r="O94" s="9" t="str">
        <f t="shared" si="10"/>
        <v/>
      </c>
      <c r="P94" s="19" t="str">
        <f>IF($B94="","",IFERROR(Config!$F$10,0))</f>
        <v/>
      </c>
      <c r="Q94" s="21" t="str">
        <f>IF($B94="","",IF(Config!$E$10="",0,SUMIFS('Leave Records'!$I:$I,'Leave Records'!$B:$B,$B94,'Leave Records'!$D:$D,Config!$E$10,'Leave Records'!$K:$K,"Approved")))</f>
        <v/>
      </c>
      <c r="R94" s="22" t="str">
        <f>IF($B94="","",IF(Config!$E$10="",0,SUMIFS('Leave Records'!$I:$I,'Leave Records'!$B:$B,$B94,'Leave Records'!$D:$D,Config!$E$10,'Leave Records'!$K:$K,"Pending")))</f>
        <v/>
      </c>
      <c r="S94" s="9" t="str">
        <f t="shared" si="11"/>
        <v/>
      </c>
      <c r="T94" s="19" t="str">
        <f>IF($B94="","",IFERROR(Config!$F$11,0))</f>
        <v/>
      </c>
      <c r="U94" s="21" t="str">
        <f>IF($B94="","",IF(Config!$E$11="",0,SUMIFS('Leave Records'!$I:$I,'Leave Records'!$B:$B,$B94,'Leave Records'!$D:$D,Config!$E$11,'Leave Records'!$K:$K,"Approved")))</f>
        <v/>
      </c>
      <c r="V94" s="22" t="str">
        <f>IF($B94="","",IF(Config!$E$11="",0,SUMIFS('Leave Records'!$I:$I,'Leave Records'!$B:$B,$B94,'Leave Records'!$D:$D,Config!$E$11,'Leave Records'!$K:$K,"Pending")))</f>
        <v/>
      </c>
      <c r="W94" s="9" t="str">
        <f t="shared" si="12"/>
        <v/>
      </c>
      <c r="X94" s="14" t="str">
        <f t="shared" si="13"/>
        <v/>
      </c>
    </row>
    <row r="95" ht="17" customHeight="1" spans="1:24">
      <c r="A95" s="5" t="str">
        <f t="shared" si="7"/>
        <v/>
      </c>
      <c r="B95" s="6" t="str">
        <f>IF(Config!$B$97="","",Config!$B$97)</f>
        <v/>
      </c>
      <c r="C95" s="7" t="str">
        <f>IF(Config!$B$97="","",Config!$C$97)</f>
        <v/>
      </c>
      <c r="D95" s="19" t="str">
        <f>IF($B95="","",IFERROR(Config!$F$7,0))</f>
        <v/>
      </c>
      <c r="E95" s="10" t="str">
        <f>IF($B95="","",IF(Config!$E$7="",0,SUMIFS('Leave Records'!$I:$I,'Leave Records'!$B:$B,$B95,'Leave Records'!$D:$D,Config!$E$7,'Leave Records'!$K:$K,"Approved")))</f>
        <v/>
      </c>
      <c r="F95" s="20" t="str">
        <f>IF($B95="","",IF(Config!$E$7="",0,SUMIFS('Leave Records'!$I:$I,'Leave Records'!$B:$B,$B95,'Leave Records'!$D:$D,Config!$E$7,'Leave Records'!$K:$K,"Pending")))</f>
        <v/>
      </c>
      <c r="G95" s="8" t="str">
        <f t="shared" si="8"/>
        <v/>
      </c>
      <c r="H95" s="19" t="str">
        <f>IF($B95="","",IFERROR(Config!$F$8,0))</f>
        <v/>
      </c>
      <c r="I95" s="10" t="str">
        <f>IF($B95="","",IF(Config!$E$8="",0,SUMIFS('Leave Records'!$I:$I,'Leave Records'!$B:$B,$B95,'Leave Records'!$D:$D,Config!$E$8,'Leave Records'!$K:$K,"Approved")))</f>
        <v/>
      </c>
      <c r="J95" s="20" t="str">
        <f>IF($B95="","",IF(Config!$E$8="",0,SUMIFS('Leave Records'!$I:$I,'Leave Records'!$B:$B,$B95,'Leave Records'!$D:$D,Config!$E$8,'Leave Records'!$K:$K,"Pending")))</f>
        <v/>
      </c>
      <c r="K95" s="8" t="str">
        <f t="shared" si="9"/>
        <v/>
      </c>
      <c r="L95" s="19" t="str">
        <f>IF($B95="","",IFERROR(Config!$F$9,0))</f>
        <v/>
      </c>
      <c r="M95" s="10" t="str">
        <f>IF($B95="","",IF(Config!$E$9="",0,SUMIFS('Leave Records'!$I:$I,'Leave Records'!$B:$B,$B95,'Leave Records'!$D:$D,Config!$E$9,'Leave Records'!$K:$K,"Approved")))</f>
        <v/>
      </c>
      <c r="N95" s="20" t="str">
        <f>IF($B95="","",IF(Config!$E$9="",0,SUMIFS('Leave Records'!$I:$I,'Leave Records'!$B:$B,$B95,'Leave Records'!$D:$D,Config!$E$9,'Leave Records'!$K:$K,"Pending")))</f>
        <v/>
      </c>
      <c r="O95" s="8" t="str">
        <f t="shared" si="10"/>
        <v/>
      </c>
      <c r="P95" s="19" t="str">
        <f>IF($B95="","",IFERROR(Config!$F$10,0))</f>
        <v/>
      </c>
      <c r="Q95" s="10" t="str">
        <f>IF($B95="","",IF(Config!$E$10="",0,SUMIFS('Leave Records'!$I:$I,'Leave Records'!$B:$B,$B95,'Leave Records'!$D:$D,Config!$E$10,'Leave Records'!$K:$K,"Approved")))</f>
        <v/>
      </c>
      <c r="R95" s="20" t="str">
        <f>IF($B95="","",IF(Config!$E$10="",0,SUMIFS('Leave Records'!$I:$I,'Leave Records'!$B:$B,$B95,'Leave Records'!$D:$D,Config!$E$10,'Leave Records'!$K:$K,"Pending")))</f>
        <v/>
      </c>
      <c r="S95" s="8" t="str">
        <f t="shared" si="11"/>
        <v/>
      </c>
      <c r="T95" s="19" t="str">
        <f>IF($B95="","",IFERROR(Config!$F$11,0))</f>
        <v/>
      </c>
      <c r="U95" s="10" t="str">
        <f>IF($B95="","",IF(Config!$E$11="",0,SUMIFS('Leave Records'!$I:$I,'Leave Records'!$B:$B,$B95,'Leave Records'!$D:$D,Config!$E$11,'Leave Records'!$K:$K,"Approved")))</f>
        <v/>
      </c>
      <c r="V95" s="20" t="str">
        <f>IF($B95="","",IF(Config!$E$11="",0,SUMIFS('Leave Records'!$I:$I,'Leave Records'!$B:$B,$B95,'Leave Records'!$D:$D,Config!$E$11,'Leave Records'!$K:$K,"Pending")))</f>
        <v/>
      </c>
      <c r="W95" s="8" t="str">
        <f t="shared" si="12"/>
        <v/>
      </c>
      <c r="X95" s="11" t="str">
        <f t="shared" si="13"/>
        <v/>
      </c>
    </row>
    <row r="96" ht="17" customHeight="1" spans="1:24">
      <c r="A96" s="5" t="str">
        <f t="shared" si="7"/>
        <v/>
      </c>
      <c r="B96" s="12" t="str">
        <f>IF(Config!$B$98="","",Config!$B$98)</f>
        <v/>
      </c>
      <c r="C96" s="13" t="str">
        <f>IF(Config!$B$98="","",Config!$C$98)</f>
        <v/>
      </c>
      <c r="D96" s="19" t="str">
        <f>IF($B96="","",IFERROR(Config!$F$7,0))</f>
        <v/>
      </c>
      <c r="E96" s="21" t="str">
        <f>IF($B96="","",IF(Config!$E$7="",0,SUMIFS('Leave Records'!$I:$I,'Leave Records'!$B:$B,$B96,'Leave Records'!$D:$D,Config!$E$7,'Leave Records'!$K:$K,"Approved")))</f>
        <v/>
      </c>
      <c r="F96" s="22" t="str">
        <f>IF($B96="","",IF(Config!$E$7="",0,SUMIFS('Leave Records'!$I:$I,'Leave Records'!$B:$B,$B96,'Leave Records'!$D:$D,Config!$E$7,'Leave Records'!$K:$K,"Pending")))</f>
        <v/>
      </c>
      <c r="G96" s="9" t="str">
        <f t="shared" si="8"/>
        <v/>
      </c>
      <c r="H96" s="19" t="str">
        <f>IF($B96="","",IFERROR(Config!$F$8,0))</f>
        <v/>
      </c>
      <c r="I96" s="21" t="str">
        <f>IF($B96="","",IF(Config!$E$8="",0,SUMIFS('Leave Records'!$I:$I,'Leave Records'!$B:$B,$B96,'Leave Records'!$D:$D,Config!$E$8,'Leave Records'!$K:$K,"Approved")))</f>
        <v/>
      </c>
      <c r="J96" s="22" t="str">
        <f>IF($B96="","",IF(Config!$E$8="",0,SUMIFS('Leave Records'!$I:$I,'Leave Records'!$B:$B,$B96,'Leave Records'!$D:$D,Config!$E$8,'Leave Records'!$K:$K,"Pending")))</f>
        <v/>
      </c>
      <c r="K96" s="9" t="str">
        <f t="shared" si="9"/>
        <v/>
      </c>
      <c r="L96" s="19" t="str">
        <f>IF($B96="","",IFERROR(Config!$F$9,0))</f>
        <v/>
      </c>
      <c r="M96" s="21" t="str">
        <f>IF($B96="","",IF(Config!$E$9="",0,SUMIFS('Leave Records'!$I:$I,'Leave Records'!$B:$B,$B96,'Leave Records'!$D:$D,Config!$E$9,'Leave Records'!$K:$K,"Approved")))</f>
        <v/>
      </c>
      <c r="N96" s="22" t="str">
        <f>IF($B96="","",IF(Config!$E$9="",0,SUMIFS('Leave Records'!$I:$I,'Leave Records'!$B:$B,$B96,'Leave Records'!$D:$D,Config!$E$9,'Leave Records'!$K:$K,"Pending")))</f>
        <v/>
      </c>
      <c r="O96" s="9" t="str">
        <f t="shared" si="10"/>
        <v/>
      </c>
      <c r="P96" s="19" t="str">
        <f>IF($B96="","",IFERROR(Config!$F$10,0))</f>
        <v/>
      </c>
      <c r="Q96" s="21" t="str">
        <f>IF($B96="","",IF(Config!$E$10="",0,SUMIFS('Leave Records'!$I:$I,'Leave Records'!$B:$B,$B96,'Leave Records'!$D:$D,Config!$E$10,'Leave Records'!$K:$K,"Approved")))</f>
        <v/>
      </c>
      <c r="R96" s="22" t="str">
        <f>IF($B96="","",IF(Config!$E$10="",0,SUMIFS('Leave Records'!$I:$I,'Leave Records'!$B:$B,$B96,'Leave Records'!$D:$D,Config!$E$10,'Leave Records'!$K:$K,"Pending")))</f>
        <v/>
      </c>
      <c r="S96" s="9" t="str">
        <f t="shared" si="11"/>
        <v/>
      </c>
      <c r="T96" s="19" t="str">
        <f>IF($B96="","",IFERROR(Config!$F$11,0))</f>
        <v/>
      </c>
      <c r="U96" s="21" t="str">
        <f>IF($B96="","",IF(Config!$E$11="",0,SUMIFS('Leave Records'!$I:$I,'Leave Records'!$B:$B,$B96,'Leave Records'!$D:$D,Config!$E$11,'Leave Records'!$K:$K,"Approved")))</f>
        <v/>
      </c>
      <c r="V96" s="22" t="str">
        <f>IF($B96="","",IF(Config!$E$11="",0,SUMIFS('Leave Records'!$I:$I,'Leave Records'!$B:$B,$B96,'Leave Records'!$D:$D,Config!$E$11,'Leave Records'!$K:$K,"Pending")))</f>
        <v/>
      </c>
      <c r="W96" s="9" t="str">
        <f t="shared" si="12"/>
        <v/>
      </c>
      <c r="X96" s="14" t="str">
        <f t="shared" si="13"/>
        <v/>
      </c>
    </row>
    <row r="97" ht="17" customHeight="1" spans="1:24">
      <c r="A97" s="5" t="str">
        <f t="shared" si="7"/>
        <v/>
      </c>
      <c r="B97" s="6" t="str">
        <f>IF(Config!$B$99="","",Config!$B$99)</f>
        <v/>
      </c>
      <c r="C97" s="7" t="str">
        <f>IF(Config!$B$99="","",Config!$C$99)</f>
        <v/>
      </c>
      <c r="D97" s="19" t="str">
        <f>IF($B97="","",IFERROR(Config!$F$7,0))</f>
        <v/>
      </c>
      <c r="E97" s="10" t="str">
        <f>IF($B97="","",IF(Config!$E$7="",0,SUMIFS('Leave Records'!$I:$I,'Leave Records'!$B:$B,$B97,'Leave Records'!$D:$D,Config!$E$7,'Leave Records'!$K:$K,"Approved")))</f>
        <v/>
      </c>
      <c r="F97" s="20" t="str">
        <f>IF($B97="","",IF(Config!$E$7="",0,SUMIFS('Leave Records'!$I:$I,'Leave Records'!$B:$B,$B97,'Leave Records'!$D:$D,Config!$E$7,'Leave Records'!$K:$K,"Pending")))</f>
        <v/>
      </c>
      <c r="G97" s="8" t="str">
        <f t="shared" si="8"/>
        <v/>
      </c>
      <c r="H97" s="19" t="str">
        <f>IF($B97="","",IFERROR(Config!$F$8,0))</f>
        <v/>
      </c>
      <c r="I97" s="10" t="str">
        <f>IF($B97="","",IF(Config!$E$8="",0,SUMIFS('Leave Records'!$I:$I,'Leave Records'!$B:$B,$B97,'Leave Records'!$D:$D,Config!$E$8,'Leave Records'!$K:$K,"Approved")))</f>
        <v/>
      </c>
      <c r="J97" s="20" t="str">
        <f>IF($B97="","",IF(Config!$E$8="",0,SUMIFS('Leave Records'!$I:$I,'Leave Records'!$B:$B,$B97,'Leave Records'!$D:$D,Config!$E$8,'Leave Records'!$K:$K,"Pending")))</f>
        <v/>
      </c>
      <c r="K97" s="8" t="str">
        <f t="shared" si="9"/>
        <v/>
      </c>
      <c r="L97" s="19" t="str">
        <f>IF($B97="","",IFERROR(Config!$F$9,0))</f>
        <v/>
      </c>
      <c r="M97" s="10" t="str">
        <f>IF($B97="","",IF(Config!$E$9="",0,SUMIFS('Leave Records'!$I:$I,'Leave Records'!$B:$B,$B97,'Leave Records'!$D:$D,Config!$E$9,'Leave Records'!$K:$K,"Approved")))</f>
        <v/>
      </c>
      <c r="N97" s="20" t="str">
        <f>IF($B97="","",IF(Config!$E$9="",0,SUMIFS('Leave Records'!$I:$I,'Leave Records'!$B:$B,$B97,'Leave Records'!$D:$D,Config!$E$9,'Leave Records'!$K:$K,"Pending")))</f>
        <v/>
      </c>
      <c r="O97" s="8" t="str">
        <f t="shared" si="10"/>
        <v/>
      </c>
      <c r="P97" s="19" t="str">
        <f>IF($B97="","",IFERROR(Config!$F$10,0))</f>
        <v/>
      </c>
      <c r="Q97" s="10" t="str">
        <f>IF($B97="","",IF(Config!$E$10="",0,SUMIFS('Leave Records'!$I:$I,'Leave Records'!$B:$B,$B97,'Leave Records'!$D:$D,Config!$E$10,'Leave Records'!$K:$K,"Approved")))</f>
        <v/>
      </c>
      <c r="R97" s="20" t="str">
        <f>IF($B97="","",IF(Config!$E$10="",0,SUMIFS('Leave Records'!$I:$I,'Leave Records'!$B:$B,$B97,'Leave Records'!$D:$D,Config!$E$10,'Leave Records'!$K:$K,"Pending")))</f>
        <v/>
      </c>
      <c r="S97" s="8" t="str">
        <f t="shared" si="11"/>
        <v/>
      </c>
      <c r="T97" s="19" t="str">
        <f>IF($B97="","",IFERROR(Config!$F$11,0))</f>
        <v/>
      </c>
      <c r="U97" s="10" t="str">
        <f>IF($B97="","",IF(Config!$E$11="",0,SUMIFS('Leave Records'!$I:$I,'Leave Records'!$B:$B,$B97,'Leave Records'!$D:$D,Config!$E$11,'Leave Records'!$K:$K,"Approved")))</f>
        <v/>
      </c>
      <c r="V97" s="20" t="str">
        <f>IF($B97="","",IF(Config!$E$11="",0,SUMIFS('Leave Records'!$I:$I,'Leave Records'!$B:$B,$B97,'Leave Records'!$D:$D,Config!$E$11,'Leave Records'!$K:$K,"Pending")))</f>
        <v/>
      </c>
      <c r="W97" s="8" t="str">
        <f t="shared" si="12"/>
        <v/>
      </c>
      <c r="X97" s="11" t="str">
        <f t="shared" si="13"/>
        <v/>
      </c>
    </row>
    <row r="98" ht="17" customHeight="1" spans="1:24">
      <c r="A98" s="5" t="str">
        <f t="shared" si="7"/>
        <v/>
      </c>
      <c r="B98" s="12" t="str">
        <f>IF(Config!$B$100="","",Config!$B$100)</f>
        <v/>
      </c>
      <c r="C98" s="13" t="str">
        <f>IF(Config!$B$100="","",Config!$C$100)</f>
        <v/>
      </c>
      <c r="D98" s="19" t="str">
        <f>IF($B98="","",IFERROR(Config!$F$7,0))</f>
        <v/>
      </c>
      <c r="E98" s="21" t="str">
        <f>IF($B98="","",IF(Config!$E$7="",0,SUMIFS('Leave Records'!$I:$I,'Leave Records'!$B:$B,$B98,'Leave Records'!$D:$D,Config!$E$7,'Leave Records'!$K:$K,"Approved")))</f>
        <v/>
      </c>
      <c r="F98" s="22" t="str">
        <f>IF($B98="","",IF(Config!$E$7="",0,SUMIFS('Leave Records'!$I:$I,'Leave Records'!$B:$B,$B98,'Leave Records'!$D:$D,Config!$E$7,'Leave Records'!$K:$K,"Pending")))</f>
        <v/>
      </c>
      <c r="G98" s="9" t="str">
        <f t="shared" si="8"/>
        <v/>
      </c>
      <c r="H98" s="19" t="str">
        <f>IF($B98="","",IFERROR(Config!$F$8,0))</f>
        <v/>
      </c>
      <c r="I98" s="21" t="str">
        <f>IF($B98="","",IF(Config!$E$8="",0,SUMIFS('Leave Records'!$I:$I,'Leave Records'!$B:$B,$B98,'Leave Records'!$D:$D,Config!$E$8,'Leave Records'!$K:$K,"Approved")))</f>
        <v/>
      </c>
      <c r="J98" s="22" t="str">
        <f>IF($B98="","",IF(Config!$E$8="",0,SUMIFS('Leave Records'!$I:$I,'Leave Records'!$B:$B,$B98,'Leave Records'!$D:$D,Config!$E$8,'Leave Records'!$K:$K,"Pending")))</f>
        <v/>
      </c>
      <c r="K98" s="9" t="str">
        <f t="shared" si="9"/>
        <v/>
      </c>
      <c r="L98" s="19" t="str">
        <f>IF($B98="","",IFERROR(Config!$F$9,0))</f>
        <v/>
      </c>
      <c r="M98" s="21" t="str">
        <f>IF($B98="","",IF(Config!$E$9="",0,SUMIFS('Leave Records'!$I:$I,'Leave Records'!$B:$B,$B98,'Leave Records'!$D:$D,Config!$E$9,'Leave Records'!$K:$K,"Approved")))</f>
        <v/>
      </c>
      <c r="N98" s="22" t="str">
        <f>IF($B98="","",IF(Config!$E$9="",0,SUMIFS('Leave Records'!$I:$I,'Leave Records'!$B:$B,$B98,'Leave Records'!$D:$D,Config!$E$9,'Leave Records'!$K:$K,"Pending")))</f>
        <v/>
      </c>
      <c r="O98" s="9" t="str">
        <f t="shared" si="10"/>
        <v/>
      </c>
      <c r="P98" s="19" t="str">
        <f>IF($B98="","",IFERROR(Config!$F$10,0))</f>
        <v/>
      </c>
      <c r="Q98" s="21" t="str">
        <f>IF($B98="","",IF(Config!$E$10="",0,SUMIFS('Leave Records'!$I:$I,'Leave Records'!$B:$B,$B98,'Leave Records'!$D:$D,Config!$E$10,'Leave Records'!$K:$K,"Approved")))</f>
        <v/>
      </c>
      <c r="R98" s="22" t="str">
        <f>IF($B98="","",IF(Config!$E$10="",0,SUMIFS('Leave Records'!$I:$I,'Leave Records'!$B:$B,$B98,'Leave Records'!$D:$D,Config!$E$10,'Leave Records'!$K:$K,"Pending")))</f>
        <v/>
      </c>
      <c r="S98" s="9" t="str">
        <f t="shared" si="11"/>
        <v/>
      </c>
      <c r="T98" s="19" t="str">
        <f>IF($B98="","",IFERROR(Config!$F$11,0))</f>
        <v/>
      </c>
      <c r="U98" s="21" t="str">
        <f>IF($B98="","",IF(Config!$E$11="",0,SUMIFS('Leave Records'!$I:$I,'Leave Records'!$B:$B,$B98,'Leave Records'!$D:$D,Config!$E$11,'Leave Records'!$K:$K,"Approved")))</f>
        <v/>
      </c>
      <c r="V98" s="22" t="str">
        <f>IF($B98="","",IF(Config!$E$11="",0,SUMIFS('Leave Records'!$I:$I,'Leave Records'!$B:$B,$B98,'Leave Records'!$D:$D,Config!$E$11,'Leave Records'!$K:$K,"Pending")))</f>
        <v/>
      </c>
      <c r="W98" s="9" t="str">
        <f t="shared" si="12"/>
        <v/>
      </c>
      <c r="X98" s="14" t="str">
        <f t="shared" si="13"/>
        <v/>
      </c>
    </row>
    <row r="99" ht="17" customHeight="1" spans="1:24">
      <c r="A99" s="5" t="str">
        <f t="shared" si="7"/>
        <v/>
      </c>
      <c r="B99" s="6" t="str">
        <f>IF(Config!$B$101="","",Config!$B$101)</f>
        <v/>
      </c>
      <c r="C99" s="7" t="str">
        <f>IF(Config!$B$101="","",Config!$C$101)</f>
        <v/>
      </c>
      <c r="D99" s="19" t="str">
        <f>IF($B99="","",IFERROR(Config!$F$7,0))</f>
        <v/>
      </c>
      <c r="E99" s="10" t="str">
        <f>IF($B99="","",IF(Config!$E$7="",0,SUMIFS('Leave Records'!$I:$I,'Leave Records'!$B:$B,$B99,'Leave Records'!$D:$D,Config!$E$7,'Leave Records'!$K:$K,"Approved")))</f>
        <v/>
      </c>
      <c r="F99" s="20" t="str">
        <f>IF($B99="","",IF(Config!$E$7="",0,SUMIFS('Leave Records'!$I:$I,'Leave Records'!$B:$B,$B99,'Leave Records'!$D:$D,Config!$E$7,'Leave Records'!$K:$K,"Pending")))</f>
        <v/>
      </c>
      <c r="G99" s="8" t="str">
        <f t="shared" si="8"/>
        <v/>
      </c>
      <c r="H99" s="19" t="str">
        <f>IF($B99="","",IFERROR(Config!$F$8,0))</f>
        <v/>
      </c>
      <c r="I99" s="10" t="str">
        <f>IF($B99="","",IF(Config!$E$8="",0,SUMIFS('Leave Records'!$I:$I,'Leave Records'!$B:$B,$B99,'Leave Records'!$D:$D,Config!$E$8,'Leave Records'!$K:$K,"Approved")))</f>
        <v/>
      </c>
      <c r="J99" s="20" t="str">
        <f>IF($B99="","",IF(Config!$E$8="",0,SUMIFS('Leave Records'!$I:$I,'Leave Records'!$B:$B,$B99,'Leave Records'!$D:$D,Config!$E$8,'Leave Records'!$K:$K,"Pending")))</f>
        <v/>
      </c>
      <c r="K99" s="8" t="str">
        <f t="shared" si="9"/>
        <v/>
      </c>
      <c r="L99" s="19" t="str">
        <f>IF($B99="","",IFERROR(Config!$F$9,0))</f>
        <v/>
      </c>
      <c r="M99" s="10" t="str">
        <f>IF($B99="","",IF(Config!$E$9="",0,SUMIFS('Leave Records'!$I:$I,'Leave Records'!$B:$B,$B99,'Leave Records'!$D:$D,Config!$E$9,'Leave Records'!$K:$K,"Approved")))</f>
        <v/>
      </c>
      <c r="N99" s="20" t="str">
        <f>IF($B99="","",IF(Config!$E$9="",0,SUMIFS('Leave Records'!$I:$I,'Leave Records'!$B:$B,$B99,'Leave Records'!$D:$D,Config!$E$9,'Leave Records'!$K:$K,"Pending")))</f>
        <v/>
      </c>
      <c r="O99" s="8" t="str">
        <f t="shared" si="10"/>
        <v/>
      </c>
      <c r="P99" s="19" t="str">
        <f>IF($B99="","",IFERROR(Config!$F$10,0))</f>
        <v/>
      </c>
      <c r="Q99" s="10" t="str">
        <f>IF($B99="","",IF(Config!$E$10="",0,SUMIFS('Leave Records'!$I:$I,'Leave Records'!$B:$B,$B99,'Leave Records'!$D:$D,Config!$E$10,'Leave Records'!$K:$K,"Approved")))</f>
        <v/>
      </c>
      <c r="R99" s="20" t="str">
        <f>IF($B99="","",IF(Config!$E$10="",0,SUMIFS('Leave Records'!$I:$I,'Leave Records'!$B:$B,$B99,'Leave Records'!$D:$D,Config!$E$10,'Leave Records'!$K:$K,"Pending")))</f>
        <v/>
      </c>
      <c r="S99" s="8" t="str">
        <f t="shared" si="11"/>
        <v/>
      </c>
      <c r="T99" s="19" t="str">
        <f>IF($B99="","",IFERROR(Config!$F$11,0))</f>
        <v/>
      </c>
      <c r="U99" s="10" t="str">
        <f>IF($B99="","",IF(Config!$E$11="",0,SUMIFS('Leave Records'!$I:$I,'Leave Records'!$B:$B,$B99,'Leave Records'!$D:$D,Config!$E$11,'Leave Records'!$K:$K,"Approved")))</f>
        <v/>
      </c>
      <c r="V99" s="20" t="str">
        <f>IF($B99="","",IF(Config!$E$11="",0,SUMIFS('Leave Records'!$I:$I,'Leave Records'!$B:$B,$B99,'Leave Records'!$D:$D,Config!$E$11,'Leave Records'!$K:$K,"Pending")))</f>
        <v/>
      </c>
      <c r="W99" s="8" t="str">
        <f t="shared" si="12"/>
        <v/>
      </c>
      <c r="X99" s="11" t="str">
        <f t="shared" si="13"/>
        <v/>
      </c>
    </row>
    <row r="100" ht="17" customHeight="1" spans="1:24">
      <c r="A100" s="5" t="str">
        <f t="shared" si="7"/>
        <v/>
      </c>
      <c r="B100" s="12" t="str">
        <f>IF(Config!$B$102="","",Config!$B$102)</f>
        <v/>
      </c>
      <c r="C100" s="13" t="str">
        <f>IF(Config!$B$102="","",Config!$C$102)</f>
        <v/>
      </c>
      <c r="D100" s="19" t="str">
        <f>IF($B100="","",IFERROR(Config!$F$7,0))</f>
        <v/>
      </c>
      <c r="E100" s="21" t="str">
        <f>IF($B100="","",IF(Config!$E$7="",0,SUMIFS('Leave Records'!$I:$I,'Leave Records'!$B:$B,$B100,'Leave Records'!$D:$D,Config!$E$7,'Leave Records'!$K:$K,"Approved")))</f>
        <v/>
      </c>
      <c r="F100" s="22" t="str">
        <f>IF($B100="","",IF(Config!$E$7="",0,SUMIFS('Leave Records'!$I:$I,'Leave Records'!$B:$B,$B100,'Leave Records'!$D:$D,Config!$E$7,'Leave Records'!$K:$K,"Pending")))</f>
        <v/>
      </c>
      <c r="G100" s="9" t="str">
        <f t="shared" si="8"/>
        <v/>
      </c>
      <c r="H100" s="19" t="str">
        <f>IF($B100="","",IFERROR(Config!$F$8,0))</f>
        <v/>
      </c>
      <c r="I100" s="21" t="str">
        <f>IF($B100="","",IF(Config!$E$8="",0,SUMIFS('Leave Records'!$I:$I,'Leave Records'!$B:$B,$B100,'Leave Records'!$D:$D,Config!$E$8,'Leave Records'!$K:$K,"Approved")))</f>
        <v/>
      </c>
      <c r="J100" s="22" t="str">
        <f>IF($B100="","",IF(Config!$E$8="",0,SUMIFS('Leave Records'!$I:$I,'Leave Records'!$B:$B,$B100,'Leave Records'!$D:$D,Config!$E$8,'Leave Records'!$K:$K,"Pending")))</f>
        <v/>
      </c>
      <c r="K100" s="9" t="str">
        <f t="shared" si="9"/>
        <v/>
      </c>
      <c r="L100" s="19" t="str">
        <f>IF($B100="","",IFERROR(Config!$F$9,0))</f>
        <v/>
      </c>
      <c r="M100" s="21" t="str">
        <f>IF($B100="","",IF(Config!$E$9="",0,SUMIFS('Leave Records'!$I:$I,'Leave Records'!$B:$B,$B100,'Leave Records'!$D:$D,Config!$E$9,'Leave Records'!$K:$K,"Approved")))</f>
        <v/>
      </c>
      <c r="N100" s="22" t="str">
        <f>IF($B100="","",IF(Config!$E$9="",0,SUMIFS('Leave Records'!$I:$I,'Leave Records'!$B:$B,$B100,'Leave Records'!$D:$D,Config!$E$9,'Leave Records'!$K:$K,"Pending")))</f>
        <v/>
      </c>
      <c r="O100" s="9" t="str">
        <f t="shared" si="10"/>
        <v/>
      </c>
      <c r="P100" s="19" t="str">
        <f>IF($B100="","",IFERROR(Config!$F$10,0))</f>
        <v/>
      </c>
      <c r="Q100" s="21" t="str">
        <f>IF($B100="","",IF(Config!$E$10="",0,SUMIFS('Leave Records'!$I:$I,'Leave Records'!$B:$B,$B100,'Leave Records'!$D:$D,Config!$E$10,'Leave Records'!$K:$K,"Approved")))</f>
        <v/>
      </c>
      <c r="R100" s="22" t="str">
        <f>IF($B100="","",IF(Config!$E$10="",0,SUMIFS('Leave Records'!$I:$I,'Leave Records'!$B:$B,$B100,'Leave Records'!$D:$D,Config!$E$10,'Leave Records'!$K:$K,"Pending")))</f>
        <v/>
      </c>
      <c r="S100" s="9" t="str">
        <f t="shared" si="11"/>
        <v/>
      </c>
      <c r="T100" s="19" t="str">
        <f>IF($B100="","",IFERROR(Config!$F$11,0))</f>
        <v/>
      </c>
      <c r="U100" s="21" t="str">
        <f>IF($B100="","",IF(Config!$E$11="",0,SUMIFS('Leave Records'!$I:$I,'Leave Records'!$B:$B,$B100,'Leave Records'!$D:$D,Config!$E$11,'Leave Records'!$K:$K,"Approved")))</f>
        <v/>
      </c>
      <c r="V100" s="22" t="str">
        <f>IF($B100="","",IF(Config!$E$11="",0,SUMIFS('Leave Records'!$I:$I,'Leave Records'!$B:$B,$B100,'Leave Records'!$D:$D,Config!$E$11,'Leave Records'!$K:$K,"Pending")))</f>
        <v/>
      </c>
      <c r="W100" s="9" t="str">
        <f t="shared" si="12"/>
        <v/>
      </c>
      <c r="X100" s="14" t="str">
        <f t="shared" si="13"/>
        <v/>
      </c>
    </row>
    <row r="101" ht="17" customHeight="1" spans="1:24">
      <c r="A101" s="5" t="str">
        <f t="shared" si="7"/>
        <v/>
      </c>
      <c r="B101" s="6" t="str">
        <f>IF(Config!$B$103="","",Config!$B$103)</f>
        <v/>
      </c>
      <c r="C101" s="7" t="str">
        <f>IF(Config!$B$103="","",Config!$C$103)</f>
        <v/>
      </c>
      <c r="D101" s="19" t="str">
        <f>IF($B101="","",IFERROR(Config!$F$7,0))</f>
        <v/>
      </c>
      <c r="E101" s="10" t="str">
        <f>IF($B101="","",IF(Config!$E$7="",0,SUMIFS('Leave Records'!$I:$I,'Leave Records'!$B:$B,$B101,'Leave Records'!$D:$D,Config!$E$7,'Leave Records'!$K:$K,"Approved")))</f>
        <v/>
      </c>
      <c r="F101" s="20" t="str">
        <f>IF($B101="","",IF(Config!$E$7="",0,SUMIFS('Leave Records'!$I:$I,'Leave Records'!$B:$B,$B101,'Leave Records'!$D:$D,Config!$E$7,'Leave Records'!$K:$K,"Pending")))</f>
        <v/>
      </c>
      <c r="G101" s="8" t="str">
        <f t="shared" si="8"/>
        <v/>
      </c>
      <c r="H101" s="19" t="str">
        <f>IF($B101="","",IFERROR(Config!$F$8,0))</f>
        <v/>
      </c>
      <c r="I101" s="10" t="str">
        <f>IF($B101="","",IF(Config!$E$8="",0,SUMIFS('Leave Records'!$I:$I,'Leave Records'!$B:$B,$B101,'Leave Records'!$D:$D,Config!$E$8,'Leave Records'!$K:$K,"Approved")))</f>
        <v/>
      </c>
      <c r="J101" s="20" t="str">
        <f>IF($B101="","",IF(Config!$E$8="",0,SUMIFS('Leave Records'!$I:$I,'Leave Records'!$B:$B,$B101,'Leave Records'!$D:$D,Config!$E$8,'Leave Records'!$K:$K,"Pending")))</f>
        <v/>
      </c>
      <c r="K101" s="8" t="str">
        <f t="shared" si="9"/>
        <v/>
      </c>
      <c r="L101" s="19" t="str">
        <f>IF($B101="","",IFERROR(Config!$F$9,0))</f>
        <v/>
      </c>
      <c r="M101" s="10" t="str">
        <f>IF($B101="","",IF(Config!$E$9="",0,SUMIFS('Leave Records'!$I:$I,'Leave Records'!$B:$B,$B101,'Leave Records'!$D:$D,Config!$E$9,'Leave Records'!$K:$K,"Approved")))</f>
        <v/>
      </c>
      <c r="N101" s="20" t="str">
        <f>IF($B101="","",IF(Config!$E$9="",0,SUMIFS('Leave Records'!$I:$I,'Leave Records'!$B:$B,$B101,'Leave Records'!$D:$D,Config!$E$9,'Leave Records'!$K:$K,"Pending")))</f>
        <v/>
      </c>
      <c r="O101" s="8" t="str">
        <f t="shared" si="10"/>
        <v/>
      </c>
      <c r="P101" s="19" t="str">
        <f>IF($B101="","",IFERROR(Config!$F$10,0))</f>
        <v/>
      </c>
      <c r="Q101" s="10" t="str">
        <f>IF($B101="","",IF(Config!$E$10="",0,SUMIFS('Leave Records'!$I:$I,'Leave Records'!$B:$B,$B101,'Leave Records'!$D:$D,Config!$E$10,'Leave Records'!$K:$K,"Approved")))</f>
        <v/>
      </c>
      <c r="R101" s="20" t="str">
        <f>IF($B101="","",IF(Config!$E$10="",0,SUMIFS('Leave Records'!$I:$I,'Leave Records'!$B:$B,$B101,'Leave Records'!$D:$D,Config!$E$10,'Leave Records'!$K:$K,"Pending")))</f>
        <v/>
      </c>
      <c r="S101" s="8" t="str">
        <f t="shared" si="11"/>
        <v/>
      </c>
      <c r="T101" s="19" t="str">
        <f>IF($B101="","",IFERROR(Config!$F$11,0))</f>
        <v/>
      </c>
      <c r="U101" s="10" t="str">
        <f>IF($B101="","",IF(Config!$E$11="",0,SUMIFS('Leave Records'!$I:$I,'Leave Records'!$B:$B,$B101,'Leave Records'!$D:$D,Config!$E$11,'Leave Records'!$K:$K,"Approved")))</f>
        <v/>
      </c>
      <c r="V101" s="20" t="str">
        <f>IF($B101="","",IF(Config!$E$11="",0,SUMIFS('Leave Records'!$I:$I,'Leave Records'!$B:$B,$B101,'Leave Records'!$D:$D,Config!$E$11,'Leave Records'!$K:$K,"Pending")))</f>
        <v/>
      </c>
      <c r="W101" s="8" t="str">
        <f t="shared" si="12"/>
        <v/>
      </c>
      <c r="X101" s="11" t="str">
        <f t="shared" si="13"/>
        <v/>
      </c>
    </row>
    <row r="102" ht="17" customHeight="1" spans="1:24">
      <c r="A102" s="5" t="str">
        <f t="shared" si="7"/>
        <v/>
      </c>
      <c r="B102" s="12" t="str">
        <f>IF(Config!$B$104="","",Config!$B$104)</f>
        <v/>
      </c>
      <c r="C102" s="13" t="str">
        <f>IF(Config!$B$104="","",Config!$C$104)</f>
        <v/>
      </c>
      <c r="D102" s="19" t="str">
        <f>IF($B102="","",IFERROR(Config!$F$7,0))</f>
        <v/>
      </c>
      <c r="E102" s="21" t="str">
        <f>IF($B102="","",IF(Config!$E$7="",0,SUMIFS('Leave Records'!$I:$I,'Leave Records'!$B:$B,$B102,'Leave Records'!$D:$D,Config!$E$7,'Leave Records'!$K:$K,"Approved")))</f>
        <v/>
      </c>
      <c r="F102" s="22" t="str">
        <f>IF($B102="","",IF(Config!$E$7="",0,SUMIFS('Leave Records'!$I:$I,'Leave Records'!$B:$B,$B102,'Leave Records'!$D:$D,Config!$E$7,'Leave Records'!$K:$K,"Pending")))</f>
        <v/>
      </c>
      <c r="G102" s="9" t="str">
        <f t="shared" si="8"/>
        <v/>
      </c>
      <c r="H102" s="19" t="str">
        <f>IF($B102="","",IFERROR(Config!$F$8,0))</f>
        <v/>
      </c>
      <c r="I102" s="21" t="str">
        <f>IF($B102="","",IF(Config!$E$8="",0,SUMIFS('Leave Records'!$I:$I,'Leave Records'!$B:$B,$B102,'Leave Records'!$D:$D,Config!$E$8,'Leave Records'!$K:$K,"Approved")))</f>
        <v/>
      </c>
      <c r="J102" s="22" t="str">
        <f>IF($B102="","",IF(Config!$E$8="",0,SUMIFS('Leave Records'!$I:$I,'Leave Records'!$B:$B,$B102,'Leave Records'!$D:$D,Config!$E$8,'Leave Records'!$K:$K,"Pending")))</f>
        <v/>
      </c>
      <c r="K102" s="9" t="str">
        <f t="shared" si="9"/>
        <v/>
      </c>
      <c r="L102" s="19" t="str">
        <f>IF($B102="","",IFERROR(Config!$F$9,0))</f>
        <v/>
      </c>
      <c r="M102" s="21" t="str">
        <f>IF($B102="","",IF(Config!$E$9="",0,SUMIFS('Leave Records'!$I:$I,'Leave Records'!$B:$B,$B102,'Leave Records'!$D:$D,Config!$E$9,'Leave Records'!$K:$K,"Approved")))</f>
        <v/>
      </c>
      <c r="N102" s="22" t="str">
        <f>IF($B102="","",IF(Config!$E$9="",0,SUMIFS('Leave Records'!$I:$I,'Leave Records'!$B:$B,$B102,'Leave Records'!$D:$D,Config!$E$9,'Leave Records'!$K:$K,"Pending")))</f>
        <v/>
      </c>
      <c r="O102" s="9" t="str">
        <f t="shared" si="10"/>
        <v/>
      </c>
      <c r="P102" s="19" t="str">
        <f>IF($B102="","",IFERROR(Config!$F$10,0))</f>
        <v/>
      </c>
      <c r="Q102" s="21" t="str">
        <f>IF($B102="","",IF(Config!$E$10="",0,SUMIFS('Leave Records'!$I:$I,'Leave Records'!$B:$B,$B102,'Leave Records'!$D:$D,Config!$E$10,'Leave Records'!$K:$K,"Approved")))</f>
        <v/>
      </c>
      <c r="R102" s="22" t="str">
        <f>IF($B102="","",IF(Config!$E$10="",0,SUMIFS('Leave Records'!$I:$I,'Leave Records'!$B:$B,$B102,'Leave Records'!$D:$D,Config!$E$10,'Leave Records'!$K:$K,"Pending")))</f>
        <v/>
      </c>
      <c r="S102" s="9" t="str">
        <f t="shared" si="11"/>
        <v/>
      </c>
      <c r="T102" s="19" t="str">
        <f>IF($B102="","",IFERROR(Config!$F$11,0))</f>
        <v/>
      </c>
      <c r="U102" s="21" t="str">
        <f>IF($B102="","",IF(Config!$E$11="",0,SUMIFS('Leave Records'!$I:$I,'Leave Records'!$B:$B,$B102,'Leave Records'!$D:$D,Config!$E$11,'Leave Records'!$K:$K,"Approved")))</f>
        <v/>
      </c>
      <c r="V102" s="22" t="str">
        <f>IF($B102="","",IF(Config!$E$11="",0,SUMIFS('Leave Records'!$I:$I,'Leave Records'!$B:$B,$B102,'Leave Records'!$D:$D,Config!$E$11,'Leave Records'!$K:$K,"Pending")))</f>
        <v/>
      </c>
      <c r="W102" s="9" t="str">
        <f t="shared" si="12"/>
        <v/>
      </c>
      <c r="X102" s="14" t="str">
        <f t="shared" si="13"/>
        <v/>
      </c>
    </row>
    <row r="103" ht="17" customHeight="1" spans="1:24">
      <c r="A103" s="5" t="str">
        <f t="shared" si="7"/>
        <v/>
      </c>
      <c r="B103" s="6" t="str">
        <f>IF(Config!$B$105="","",Config!$B$105)</f>
        <v/>
      </c>
      <c r="C103" s="7" t="str">
        <f>IF(Config!$B$105="","",Config!$C$105)</f>
        <v/>
      </c>
      <c r="D103" s="19" t="str">
        <f>IF($B103="","",IFERROR(Config!$F$7,0))</f>
        <v/>
      </c>
      <c r="E103" s="10" t="str">
        <f>IF($B103="","",IF(Config!$E$7="",0,SUMIFS('Leave Records'!$I:$I,'Leave Records'!$B:$B,$B103,'Leave Records'!$D:$D,Config!$E$7,'Leave Records'!$K:$K,"Approved")))</f>
        <v/>
      </c>
      <c r="F103" s="20" t="str">
        <f>IF($B103="","",IF(Config!$E$7="",0,SUMIFS('Leave Records'!$I:$I,'Leave Records'!$B:$B,$B103,'Leave Records'!$D:$D,Config!$E$7,'Leave Records'!$K:$K,"Pending")))</f>
        <v/>
      </c>
      <c r="G103" s="8" t="str">
        <f t="shared" si="8"/>
        <v/>
      </c>
      <c r="H103" s="19" t="str">
        <f>IF($B103="","",IFERROR(Config!$F$8,0))</f>
        <v/>
      </c>
      <c r="I103" s="10" t="str">
        <f>IF($B103="","",IF(Config!$E$8="",0,SUMIFS('Leave Records'!$I:$I,'Leave Records'!$B:$B,$B103,'Leave Records'!$D:$D,Config!$E$8,'Leave Records'!$K:$K,"Approved")))</f>
        <v/>
      </c>
      <c r="J103" s="20" t="str">
        <f>IF($B103="","",IF(Config!$E$8="",0,SUMIFS('Leave Records'!$I:$I,'Leave Records'!$B:$B,$B103,'Leave Records'!$D:$D,Config!$E$8,'Leave Records'!$K:$K,"Pending")))</f>
        <v/>
      </c>
      <c r="K103" s="8" t="str">
        <f t="shared" si="9"/>
        <v/>
      </c>
      <c r="L103" s="19" t="str">
        <f>IF($B103="","",IFERROR(Config!$F$9,0))</f>
        <v/>
      </c>
      <c r="M103" s="10" t="str">
        <f>IF($B103="","",IF(Config!$E$9="",0,SUMIFS('Leave Records'!$I:$I,'Leave Records'!$B:$B,$B103,'Leave Records'!$D:$D,Config!$E$9,'Leave Records'!$K:$K,"Approved")))</f>
        <v/>
      </c>
      <c r="N103" s="20" t="str">
        <f>IF($B103="","",IF(Config!$E$9="",0,SUMIFS('Leave Records'!$I:$I,'Leave Records'!$B:$B,$B103,'Leave Records'!$D:$D,Config!$E$9,'Leave Records'!$K:$K,"Pending")))</f>
        <v/>
      </c>
      <c r="O103" s="8" t="str">
        <f t="shared" si="10"/>
        <v/>
      </c>
      <c r="P103" s="19" t="str">
        <f>IF($B103="","",IFERROR(Config!$F$10,0))</f>
        <v/>
      </c>
      <c r="Q103" s="10" t="str">
        <f>IF($B103="","",IF(Config!$E$10="",0,SUMIFS('Leave Records'!$I:$I,'Leave Records'!$B:$B,$B103,'Leave Records'!$D:$D,Config!$E$10,'Leave Records'!$K:$K,"Approved")))</f>
        <v/>
      </c>
      <c r="R103" s="20" t="str">
        <f>IF($B103="","",IF(Config!$E$10="",0,SUMIFS('Leave Records'!$I:$I,'Leave Records'!$B:$B,$B103,'Leave Records'!$D:$D,Config!$E$10,'Leave Records'!$K:$K,"Pending")))</f>
        <v/>
      </c>
      <c r="S103" s="8" t="str">
        <f t="shared" si="11"/>
        <v/>
      </c>
      <c r="T103" s="19" t="str">
        <f>IF($B103="","",IFERROR(Config!$F$11,0))</f>
        <v/>
      </c>
      <c r="U103" s="10" t="str">
        <f>IF($B103="","",IF(Config!$E$11="",0,SUMIFS('Leave Records'!$I:$I,'Leave Records'!$B:$B,$B103,'Leave Records'!$D:$D,Config!$E$11,'Leave Records'!$K:$K,"Approved")))</f>
        <v/>
      </c>
      <c r="V103" s="20" t="str">
        <f>IF($B103="","",IF(Config!$E$11="",0,SUMIFS('Leave Records'!$I:$I,'Leave Records'!$B:$B,$B103,'Leave Records'!$D:$D,Config!$E$11,'Leave Records'!$K:$K,"Pending")))</f>
        <v/>
      </c>
      <c r="W103" s="8" t="str">
        <f t="shared" si="12"/>
        <v/>
      </c>
      <c r="X103" s="11" t="str">
        <f t="shared" si="13"/>
        <v/>
      </c>
    </row>
    <row r="104" ht="17" customHeight="1" spans="1:24">
      <c r="A104" s="5" t="str">
        <f t="shared" si="7"/>
        <v/>
      </c>
      <c r="B104" s="12" t="str">
        <f>IF(Config!$B$106="","",Config!$B$106)</f>
        <v/>
      </c>
      <c r="C104" s="13" t="str">
        <f>IF(Config!$B$106="","",Config!$C$106)</f>
        <v/>
      </c>
      <c r="D104" s="19" t="str">
        <f>IF($B104="","",IFERROR(Config!$F$7,0))</f>
        <v/>
      </c>
      <c r="E104" s="21" t="str">
        <f>IF($B104="","",IF(Config!$E$7="",0,SUMIFS('Leave Records'!$I:$I,'Leave Records'!$B:$B,$B104,'Leave Records'!$D:$D,Config!$E$7,'Leave Records'!$K:$K,"Approved")))</f>
        <v/>
      </c>
      <c r="F104" s="22" t="str">
        <f>IF($B104="","",IF(Config!$E$7="",0,SUMIFS('Leave Records'!$I:$I,'Leave Records'!$B:$B,$B104,'Leave Records'!$D:$D,Config!$E$7,'Leave Records'!$K:$K,"Pending")))</f>
        <v/>
      </c>
      <c r="G104" s="9" t="str">
        <f t="shared" si="8"/>
        <v/>
      </c>
      <c r="H104" s="19" t="str">
        <f>IF($B104="","",IFERROR(Config!$F$8,0))</f>
        <v/>
      </c>
      <c r="I104" s="21" t="str">
        <f>IF($B104="","",IF(Config!$E$8="",0,SUMIFS('Leave Records'!$I:$I,'Leave Records'!$B:$B,$B104,'Leave Records'!$D:$D,Config!$E$8,'Leave Records'!$K:$K,"Approved")))</f>
        <v/>
      </c>
      <c r="J104" s="22" t="str">
        <f>IF($B104="","",IF(Config!$E$8="",0,SUMIFS('Leave Records'!$I:$I,'Leave Records'!$B:$B,$B104,'Leave Records'!$D:$D,Config!$E$8,'Leave Records'!$K:$K,"Pending")))</f>
        <v/>
      </c>
      <c r="K104" s="9" t="str">
        <f t="shared" si="9"/>
        <v/>
      </c>
      <c r="L104" s="19" t="str">
        <f>IF($B104="","",IFERROR(Config!$F$9,0))</f>
        <v/>
      </c>
      <c r="M104" s="21" t="str">
        <f>IF($B104="","",IF(Config!$E$9="",0,SUMIFS('Leave Records'!$I:$I,'Leave Records'!$B:$B,$B104,'Leave Records'!$D:$D,Config!$E$9,'Leave Records'!$K:$K,"Approved")))</f>
        <v/>
      </c>
      <c r="N104" s="22" t="str">
        <f>IF($B104="","",IF(Config!$E$9="",0,SUMIFS('Leave Records'!$I:$I,'Leave Records'!$B:$B,$B104,'Leave Records'!$D:$D,Config!$E$9,'Leave Records'!$K:$K,"Pending")))</f>
        <v/>
      </c>
      <c r="O104" s="9" t="str">
        <f t="shared" si="10"/>
        <v/>
      </c>
      <c r="P104" s="19" t="str">
        <f>IF($B104="","",IFERROR(Config!$F$10,0))</f>
        <v/>
      </c>
      <c r="Q104" s="21" t="str">
        <f>IF($B104="","",IF(Config!$E$10="",0,SUMIFS('Leave Records'!$I:$I,'Leave Records'!$B:$B,$B104,'Leave Records'!$D:$D,Config!$E$10,'Leave Records'!$K:$K,"Approved")))</f>
        <v/>
      </c>
      <c r="R104" s="22" t="str">
        <f>IF($B104="","",IF(Config!$E$10="",0,SUMIFS('Leave Records'!$I:$I,'Leave Records'!$B:$B,$B104,'Leave Records'!$D:$D,Config!$E$10,'Leave Records'!$K:$K,"Pending")))</f>
        <v/>
      </c>
      <c r="S104" s="9" t="str">
        <f t="shared" si="11"/>
        <v/>
      </c>
      <c r="T104" s="19" t="str">
        <f>IF($B104="","",IFERROR(Config!$F$11,0))</f>
        <v/>
      </c>
      <c r="U104" s="21" t="str">
        <f>IF($B104="","",IF(Config!$E$11="",0,SUMIFS('Leave Records'!$I:$I,'Leave Records'!$B:$B,$B104,'Leave Records'!$D:$D,Config!$E$11,'Leave Records'!$K:$K,"Approved")))</f>
        <v/>
      </c>
      <c r="V104" s="22" t="str">
        <f>IF($B104="","",IF(Config!$E$11="",0,SUMIFS('Leave Records'!$I:$I,'Leave Records'!$B:$B,$B104,'Leave Records'!$D:$D,Config!$E$11,'Leave Records'!$K:$K,"Pending")))</f>
        <v/>
      </c>
      <c r="W104" s="9" t="str">
        <f t="shared" si="12"/>
        <v/>
      </c>
      <c r="X104" s="14" t="str">
        <f t="shared" si="13"/>
        <v/>
      </c>
    </row>
    <row r="105" ht="20" customHeight="1" spans="1:24">
      <c r="A105" s="3" t="s">
        <v>157</v>
      </c>
      <c r="D105" s="3">
        <f t="shared" ref="D105:X105" si="14">SUM(D5:D104)</f>
        <v>530</v>
      </c>
      <c r="E105" s="3">
        <f t="shared" si="14"/>
        <v>121</v>
      </c>
      <c r="F105" s="3">
        <f t="shared" si="14"/>
        <v>0</v>
      </c>
      <c r="G105" s="3">
        <f t="shared" si="14"/>
        <v>409</v>
      </c>
      <c r="H105" s="3">
        <f t="shared" si="14"/>
        <v>265</v>
      </c>
      <c r="I105" s="3">
        <f t="shared" si="14"/>
        <v>9</v>
      </c>
      <c r="J105" s="3">
        <f t="shared" si="14"/>
        <v>0</v>
      </c>
      <c r="K105" s="3">
        <f t="shared" si="14"/>
        <v>256</v>
      </c>
      <c r="L105" s="3">
        <f t="shared" si="14"/>
        <v>0</v>
      </c>
      <c r="M105" s="3">
        <f t="shared" si="14"/>
        <v>0</v>
      </c>
      <c r="N105" s="3">
        <f t="shared" si="14"/>
        <v>0</v>
      </c>
      <c r="O105" s="3">
        <f t="shared" si="14"/>
        <v>0</v>
      </c>
      <c r="P105" s="3">
        <f t="shared" si="14"/>
        <v>0</v>
      </c>
      <c r="Q105" s="3">
        <f t="shared" si="14"/>
        <v>0</v>
      </c>
      <c r="R105" s="3">
        <f t="shared" si="14"/>
        <v>0</v>
      </c>
      <c r="S105" s="3">
        <f t="shared" si="14"/>
        <v>0</v>
      </c>
      <c r="T105" s="3">
        <f t="shared" si="14"/>
        <v>0</v>
      </c>
      <c r="U105" s="3">
        <f t="shared" si="14"/>
        <v>0</v>
      </c>
      <c r="V105" s="3">
        <f t="shared" si="14"/>
        <v>0</v>
      </c>
      <c r="W105" s="3">
        <f t="shared" si="14"/>
        <v>0</v>
      </c>
      <c r="X105" s="3">
        <f t="shared" si="14"/>
        <v>130</v>
      </c>
    </row>
  </sheetData>
  <autoFilter xmlns:etc="http://www.wps.cn/officeDocument/2017/etCustomData" ref="A4:X105" etc:filterBottomFollowUsedRange="0">
    <extLst/>
  </autoFilter>
  <mergeCells count="8">
    <mergeCell ref="A1:X1"/>
    <mergeCell ref="A2:X2"/>
    <mergeCell ref="D3:G3"/>
    <mergeCell ref="H3:K3"/>
    <mergeCell ref="L3:O3"/>
    <mergeCell ref="P3:S3"/>
    <mergeCell ref="T3:W3"/>
    <mergeCell ref="A105:C10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P105"/>
  <sheetViews>
    <sheetView workbookViewId="0">
      <pane xSplit="3" ySplit="4" topLeftCell="D50" activePane="bottomRight" state="frozen"/>
      <selection/>
      <selection pane="topRight"/>
      <selection pane="bottomLeft"/>
      <selection pane="bottomRight" activeCell="P5" sqref="P5:P57"/>
    </sheetView>
  </sheetViews>
  <sheetFormatPr defaultColWidth="9" defaultRowHeight="15"/>
  <cols>
    <col min="1" max="1" width="5" customWidth="1"/>
    <col min="2" max="2" width="26" customWidth="1"/>
    <col min="3" max="3" width="22" customWidth="1"/>
    <col min="4" max="15" width="8" customWidth="1"/>
    <col min="16" max="16" width="11" customWidth="1"/>
  </cols>
  <sheetData>
    <row r="1" ht="28" customHeight="1" spans="1:16">
      <c r="A1" s="1" t="s">
        <v>158</v>
      </c>
    </row>
    <row r="2" ht="17" customHeight="1" spans="1:16">
      <c r="A2" s="2" t="s">
        <v>159</v>
      </c>
    </row>
    <row r="3" ht="25" customHeight="1" spans="1:16">
      <c r="A3" s="3" t="s">
        <v>160</v>
      </c>
      <c r="D3" s="3" t="s">
        <v>161</v>
      </c>
      <c r="P3" s="3" t="s">
        <v>162</v>
      </c>
    </row>
    <row r="4" ht="30" customHeight="1" spans="1:16">
      <c r="A4" s="3" t="s">
        <v>150</v>
      </c>
      <c r="B4" s="3" t="s">
        <v>9</v>
      </c>
      <c r="C4" s="3" t="s">
        <v>10</v>
      </c>
      <c r="D4" s="4" t="s">
        <v>163</v>
      </c>
      <c r="E4" s="3" t="s">
        <v>164</v>
      </c>
      <c r="F4" s="4" t="s">
        <v>165</v>
      </c>
      <c r="G4" s="3" t="s">
        <v>166</v>
      </c>
      <c r="H4" s="4" t="s">
        <v>167</v>
      </c>
      <c r="I4" s="3" t="s">
        <v>168</v>
      </c>
      <c r="J4" s="4" t="s">
        <v>169</v>
      </c>
      <c r="K4" s="3" t="s">
        <v>170</v>
      </c>
      <c r="L4" s="4" t="s">
        <v>171</v>
      </c>
      <c r="M4" s="3" t="s">
        <v>172</v>
      </c>
      <c r="N4" s="4" t="s">
        <v>173</v>
      </c>
      <c r="O4" s="3" t="s">
        <v>174</v>
      </c>
      <c r="P4" s="3" t="s">
        <v>162</v>
      </c>
    </row>
    <row r="5" ht="17" customHeight="1" spans="1:16">
      <c r="A5" s="5">
        <f t="shared" ref="A5:A68" si="0">IF(B5="","",ROW()-4)</f>
        <v>1</v>
      </c>
      <c r="B5" s="6" t="str">
        <f>IF(Config!$B$7="","",Config!$B$7)</f>
        <v>Hasan Mahmud</v>
      </c>
      <c r="C5" s="7" t="str">
        <f>IF(Config!$B$7="","",Config!$C$7)</f>
        <v>Director</v>
      </c>
      <c r="D5" s="8">
        <f>IF($B5="","",SUMIFS('Leave Records'!$I:$I,'Leave Records'!$B:$B,$B5,'Leave Records'!$K:$K,"Approved",'Leave Records'!$F:$F,"&gt;="&amp;DATE(Config!$I$7,1,1),'Leave Records'!$F:$F,"&lt;="&amp;EOMONTH(DATE(Config!$I$7,1,1),0)))</f>
        <v>0</v>
      </c>
      <c r="E5" s="9">
        <f>IF($B5="","",SUMIFS('Leave Records'!$I:$I,'Leave Records'!$B:$B,$B5,'Leave Records'!$K:$K,"Approved",'Leave Records'!$F:$F,"&gt;="&amp;DATE(Config!$I$7,2,1),'Leave Records'!$F:$F,"&lt;="&amp;EOMONTH(DATE(Config!$I$7,2,1),0)))</f>
        <v>0</v>
      </c>
      <c r="F5" s="8">
        <f>IF($B5="","",SUMIFS('Leave Records'!$I:$I,'Leave Records'!$B:$B,$B5,'Leave Records'!$K:$K,"Approved",'Leave Records'!$F:$F,"&gt;="&amp;DATE(Config!$I$7,3,1),'Leave Records'!$F:$F,"&lt;="&amp;EOMONTH(DATE(Config!$I$7,3,1),0)))</f>
        <v>0</v>
      </c>
      <c r="G5" s="10">
        <f>IF($B5="","",SUMIFS('Leave Records'!$I:$I,'Leave Records'!$B:$B,$B5,'Leave Records'!$K:$K,"Approved",'Leave Records'!$F:$F,"&gt;="&amp;DATE(Config!$I$7,4,1),'Leave Records'!$F:$F,"&lt;="&amp;EOMONTH(DATE(Config!$I$7,4,1),0)))</f>
        <v>0</v>
      </c>
      <c r="H5" s="10">
        <f>IF($B5="","",SUMIFS('Leave Records'!$I:$I,'Leave Records'!$B:$B,$B5,'Leave Records'!$K:$K,"Approved",'Leave Records'!$F:$F,"&gt;="&amp;DATE(Config!$I$7,5,1),'Leave Records'!$F:$F,"&lt;="&amp;EOMONTH(DATE(Config!$I$7,5,1),0)))</f>
        <v>0</v>
      </c>
      <c r="I5" s="8">
        <f>IF($B5="","",SUMIFS('Leave Records'!$I:$I,'Leave Records'!$B:$B,$B5,'Leave Records'!$K:$K,"Approved",'Leave Records'!$F:$F,"&gt;="&amp;DATE(Config!$I$7,6,1),'Leave Records'!$F:$F,"&lt;="&amp;EOMONTH(DATE(Config!$I$7,6,1),0)))</f>
        <v>0</v>
      </c>
      <c r="J5" s="8">
        <f>IF($B5="","",SUMIFS('Leave Records'!$I:$I,'Leave Records'!$B:$B,$B5,'Leave Records'!$K:$K,"Approved",'Leave Records'!$F:$F,"&gt;="&amp;DATE(Config!$I$7,7,1),'Leave Records'!$F:$F,"&lt;="&amp;EOMONTH(DATE(Config!$I$7,7,1),0)))</f>
        <v>0</v>
      </c>
      <c r="K5" s="9">
        <f>IF($B5="","",SUMIFS('Leave Records'!$I:$I,'Leave Records'!$B:$B,$B5,'Leave Records'!$K:$K,"Approved",'Leave Records'!$F:$F,"&gt;="&amp;DATE(Config!$I$7,8,1),'Leave Records'!$F:$F,"&lt;="&amp;EOMONTH(DATE(Config!$I$7,8,1),0)))</f>
        <v>0</v>
      </c>
      <c r="L5" s="8">
        <f>IF($B5="","",SUMIFS('Leave Records'!$I:$I,'Leave Records'!$B:$B,$B5,'Leave Records'!$K:$K,"Approved",'Leave Records'!$F:$F,"&gt;="&amp;DATE(Config!$I$7,9,1),'Leave Records'!$F:$F,"&lt;="&amp;EOMONTH(DATE(Config!$I$7,9,1),0)))</f>
        <v>0</v>
      </c>
      <c r="M5" s="10">
        <f>IF($B5="","",SUMIFS('Leave Records'!$I:$I,'Leave Records'!$B:$B,$B5,'Leave Records'!$K:$K,"Approved",'Leave Records'!$F:$F,"&gt;="&amp;DATE(Config!$I$7,10,1),'Leave Records'!$F:$F,"&lt;="&amp;EOMONTH(DATE(Config!$I$7,10,1),0)))</f>
        <v>0</v>
      </c>
      <c r="N5" s="10">
        <f>IF($B5="","",SUMIFS('Leave Records'!$I:$I,'Leave Records'!$B:$B,$B5,'Leave Records'!$K:$K,"Approved",'Leave Records'!$F:$F,"&gt;="&amp;DATE(Config!$I$7,11,1),'Leave Records'!$F:$F,"&lt;="&amp;EOMONTH(DATE(Config!$I$7,11,1),0)))</f>
        <v>0</v>
      </c>
      <c r="O5" s="8">
        <f>IF($B5="","",SUMIFS('Leave Records'!$I:$I,'Leave Records'!$B:$B,$B5,'Leave Records'!$K:$K,"Approved",'Leave Records'!$F:$F,"&gt;="&amp;DATE(Config!$I$7,12,1),'Leave Records'!$F:$F,"&lt;="&amp;EOMONTH(DATE(Config!$I$7,12,1),0)))</f>
        <v>0</v>
      </c>
      <c r="P5" s="11">
        <f t="shared" ref="P5:P68" si="1">IF($B5="","",SUM(D5:O5))</f>
        <v>0</v>
      </c>
    </row>
    <row r="6" ht="17" customHeight="1" spans="1:16">
      <c r="A6" s="5">
        <f t="shared" si="0"/>
        <v>2</v>
      </c>
      <c r="B6" s="12" t="str">
        <f>IF(Config!$B$8="","",Config!$B$8)</f>
        <v>Hasina Mohammed</v>
      </c>
      <c r="C6" s="13" t="str">
        <f>IF(Config!$B$8="","",Config!$C$8)</f>
        <v>Principal</v>
      </c>
      <c r="D6" s="9">
        <f>IF($B6="","",SUMIFS('Leave Records'!$I:$I,'Leave Records'!$B:$B,$B6,'Leave Records'!$K:$K,"Approved",'Leave Records'!$F:$F,"&gt;="&amp;DATE(Config!$I$7,1,1),'Leave Records'!$F:$F,"&lt;="&amp;EOMONTH(DATE(Config!$I$7,1,1),0)))</f>
        <v>0</v>
      </c>
      <c r="E6" s="9">
        <f>IF($B6="","",SUMIFS('Leave Records'!$I:$I,'Leave Records'!$B:$B,$B6,'Leave Records'!$K:$K,"Approved",'Leave Records'!$F:$F,"&gt;="&amp;DATE(Config!$I$7,2,1),'Leave Records'!$F:$F,"&lt;="&amp;EOMONTH(DATE(Config!$I$7,2,1),0)))</f>
        <v>0</v>
      </c>
      <c r="F6" s="9">
        <f>IF($B6="","",SUMIFS('Leave Records'!$I:$I,'Leave Records'!$B:$B,$B6,'Leave Records'!$K:$K,"Approved",'Leave Records'!$F:$F,"&gt;="&amp;DATE(Config!$I$7,3,1),'Leave Records'!$F:$F,"&lt;="&amp;EOMONTH(DATE(Config!$I$7,3,1),0)))</f>
        <v>2</v>
      </c>
      <c r="G6" s="9">
        <f>IF($B6="","",SUMIFS('Leave Records'!$I:$I,'Leave Records'!$B:$B,$B6,'Leave Records'!$K:$K,"Approved",'Leave Records'!$F:$F,"&gt;="&amp;DATE(Config!$I$7,4,1),'Leave Records'!$F:$F,"&lt;="&amp;EOMONTH(DATE(Config!$I$7,4,1),0)))</f>
        <v>0</v>
      </c>
      <c r="H6" s="9">
        <f>IF($B6="","",SUMIFS('Leave Records'!$I:$I,'Leave Records'!$B:$B,$B6,'Leave Records'!$K:$K,"Approved",'Leave Records'!$F:$F,"&gt;="&amp;DATE(Config!$I$7,5,1),'Leave Records'!$F:$F,"&lt;="&amp;EOMONTH(DATE(Config!$I$7,5,1),0)))</f>
        <v>0</v>
      </c>
      <c r="I6" s="9">
        <f>IF($B6="","",SUMIFS('Leave Records'!$I:$I,'Leave Records'!$B:$B,$B6,'Leave Records'!$K:$K,"Approved",'Leave Records'!$F:$F,"&gt;="&amp;DATE(Config!$I$7,6,1),'Leave Records'!$F:$F,"&lt;="&amp;EOMONTH(DATE(Config!$I$7,6,1),0)))</f>
        <v>0</v>
      </c>
      <c r="J6" s="9">
        <f>IF($B6="","",SUMIFS('Leave Records'!$I:$I,'Leave Records'!$B:$B,$B6,'Leave Records'!$K:$K,"Approved",'Leave Records'!$F:$F,"&gt;="&amp;DATE(Config!$I$7,7,1),'Leave Records'!$F:$F,"&lt;="&amp;EOMONTH(DATE(Config!$I$7,7,1),0)))</f>
        <v>0</v>
      </c>
      <c r="K6" s="9">
        <f>IF($B6="","",SUMIFS('Leave Records'!$I:$I,'Leave Records'!$B:$B,$B6,'Leave Records'!$K:$K,"Approved",'Leave Records'!$F:$F,"&gt;="&amp;DATE(Config!$I$7,8,1),'Leave Records'!$F:$F,"&lt;="&amp;EOMONTH(DATE(Config!$I$7,8,1),0)))</f>
        <v>0</v>
      </c>
      <c r="L6" s="9">
        <f>IF($B6="","",SUMIFS('Leave Records'!$I:$I,'Leave Records'!$B:$B,$B6,'Leave Records'!$K:$K,"Approved",'Leave Records'!$F:$F,"&gt;="&amp;DATE(Config!$I$7,9,1),'Leave Records'!$F:$F,"&lt;="&amp;EOMONTH(DATE(Config!$I$7,9,1),0)))</f>
        <v>0</v>
      </c>
      <c r="M6" s="9">
        <f>IF($B6="","",SUMIFS('Leave Records'!$I:$I,'Leave Records'!$B:$B,$B6,'Leave Records'!$K:$K,"Approved",'Leave Records'!$F:$F,"&gt;="&amp;DATE(Config!$I$7,10,1),'Leave Records'!$F:$F,"&lt;="&amp;EOMONTH(DATE(Config!$I$7,10,1),0)))</f>
        <v>0</v>
      </c>
      <c r="N6" s="9">
        <f>IF($B6="","",SUMIFS('Leave Records'!$I:$I,'Leave Records'!$B:$B,$B6,'Leave Records'!$K:$K,"Approved",'Leave Records'!$F:$F,"&gt;="&amp;DATE(Config!$I$7,11,1),'Leave Records'!$F:$F,"&lt;="&amp;EOMONTH(DATE(Config!$I$7,11,1),0)))</f>
        <v>0</v>
      </c>
      <c r="O6" s="9">
        <f>IF($B6="","",SUMIFS('Leave Records'!$I:$I,'Leave Records'!$B:$B,$B6,'Leave Records'!$K:$K,"Approved",'Leave Records'!$F:$F,"&gt;="&amp;DATE(Config!$I$7,12,1),'Leave Records'!$F:$F,"&lt;="&amp;EOMONTH(DATE(Config!$I$7,12,1),0)))</f>
        <v>0</v>
      </c>
      <c r="P6" s="14">
        <f t="shared" si="1"/>
        <v>2</v>
      </c>
    </row>
    <row r="7" ht="17" customHeight="1" spans="1:16">
      <c r="A7" s="5">
        <f t="shared" si="0"/>
        <v>3</v>
      </c>
      <c r="B7" s="6" t="str">
        <f>IF(Config!$B$9="","",Config!$B$9)</f>
        <v>Nusrat Jahan Ira</v>
      </c>
      <c r="C7" s="7" t="str">
        <f>IF(Config!$B$9="","",Config!$C$9)</f>
        <v/>
      </c>
      <c r="D7" s="8">
        <f>IF($B7="","",SUMIFS('Leave Records'!$I:$I,'Leave Records'!$B:$B,$B7,'Leave Records'!$K:$K,"Approved",'Leave Records'!$F:$F,"&gt;="&amp;DATE(Config!$I$7,1,1),'Leave Records'!$F:$F,"&lt;="&amp;EOMONTH(DATE(Config!$I$7,1,1),0)))</f>
        <v>0</v>
      </c>
      <c r="E7" s="9">
        <f>IF($B7="","",SUMIFS('Leave Records'!$I:$I,'Leave Records'!$B:$B,$B7,'Leave Records'!$K:$K,"Approved",'Leave Records'!$F:$F,"&gt;="&amp;DATE(Config!$I$7,2,1),'Leave Records'!$F:$F,"&lt;="&amp;EOMONTH(DATE(Config!$I$7,2,1),0)))</f>
        <v>0</v>
      </c>
      <c r="F7" s="8">
        <f>IF($B7="","",SUMIFS('Leave Records'!$I:$I,'Leave Records'!$B:$B,$B7,'Leave Records'!$K:$K,"Approved",'Leave Records'!$F:$F,"&gt;="&amp;DATE(Config!$I$7,3,1),'Leave Records'!$F:$F,"&lt;="&amp;EOMONTH(DATE(Config!$I$7,3,1),0)))</f>
        <v>0</v>
      </c>
      <c r="G7" s="10">
        <f>IF($B7="","",SUMIFS('Leave Records'!$I:$I,'Leave Records'!$B:$B,$B7,'Leave Records'!$K:$K,"Approved",'Leave Records'!$F:$F,"&gt;="&amp;DATE(Config!$I$7,4,1),'Leave Records'!$F:$F,"&lt;="&amp;EOMONTH(DATE(Config!$I$7,4,1),0)))</f>
        <v>0</v>
      </c>
      <c r="H7" s="10">
        <f>IF($B7="","",SUMIFS('Leave Records'!$I:$I,'Leave Records'!$B:$B,$B7,'Leave Records'!$K:$K,"Approved",'Leave Records'!$F:$F,"&gt;="&amp;DATE(Config!$I$7,5,1),'Leave Records'!$F:$F,"&lt;="&amp;EOMONTH(DATE(Config!$I$7,5,1),0)))</f>
        <v>0</v>
      </c>
      <c r="I7" s="8">
        <f>IF($B7="","",SUMIFS('Leave Records'!$I:$I,'Leave Records'!$B:$B,$B7,'Leave Records'!$K:$K,"Approved",'Leave Records'!$F:$F,"&gt;="&amp;DATE(Config!$I$7,6,1),'Leave Records'!$F:$F,"&lt;="&amp;EOMONTH(DATE(Config!$I$7,6,1),0)))</f>
        <v>0</v>
      </c>
      <c r="J7" s="8">
        <f>IF($B7="","",SUMIFS('Leave Records'!$I:$I,'Leave Records'!$B:$B,$B7,'Leave Records'!$K:$K,"Approved",'Leave Records'!$F:$F,"&gt;="&amp;DATE(Config!$I$7,7,1),'Leave Records'!$F:$F,"&lt;="&amp;EOMONTH(DATE(Config!$I$7,7,1),0)))</f>
        <v>0</v>
      </c>
      <c r="K7" s="9">
        <f>IF($B7="","",SUMIFS('Leave Records'!$I:$I,'Leave Records'!$B:$B,$B7,'Leave Records'!$K:$K,"Approved",'Leave Records'!$F:$F,"&gt;="&amp;DATE(Config!$I$7,8,1),'Leave Records'!$F:$F,"&lt;="&amp;EOMONTH(DATE(Config!$I$7,8,1),0)))</f>
        <v>0</v>
      </c>
      <c r="L7" s="8">
        <f>IF($B7="","",SUMIFS('Leave Records'!$I:$I,'Leave Records'!$B:$B,$B7,'Leave Records'!$K:$K,"Approved",'Leave Records'!$F:$F,"&gt;="&amp;DATE(Config!$I$7,9,1),'Leave Records'!$F:$F,"&lt;="&amp;EOMONTH(DATE(Config!$I$7,9,1),0)))</f>
        <v>0</v>
      </c>
      <c r="M7" s="10">
        <f>IF($B7="","",SUMIFS('Leave Records'!$I:$I,'Leave Records'!$B:$B,$B7,'Leave Records'!$K:$K,"Approved",'Leave Records'!$F:$F,"&gt;="&amp;DATE(Config!$I$7,10,1),'Leave Records'!$F:$F,"&lt;="&amp;EOMONTH(DATE(Config!$I$7,10,1),0)))</f>
        <v>0</v>
      </c>
      <c r="N7" s="10">
        <f>IF($B7="","",SUMIFS('Leave Records'!$I:$I,'Leave Records'!$B:$B,$B7,'Leave Records'!$K:$K,"Approved",'Leave Records'!$F:$F,"&gt;="&amp;DATE(Config!$I$7,11,1),'Leave Records'!$F:$F,"&lt;="&amp;EOMONTH(DATE(Config!$I$7,11,1),0)))</f>
        <v>0</v>
      </c>
      <c r="O7" s="8">
        <f>IF($B7="","",SUMIFS('Leave Records'!$I:$I,'Leave Records'!$B:$B,$B7,'Leave Records'!$K:$K,"Approved",'Leave Records'!$F:$F,"&gt;="&amp;DATE(Config!$I$7,12,1),'Leave Records'!$F:$F,"&lt;="&amp;EOMONTH(DATE(Config!$I$7,12,1),0)))</f>
        <v>0</v>
      </c>
      <c r="P7" s="11">
        <f t="shared" si="1"/>
        <v>0</v>
      </c>
    </row>
    <row r="8" ht="17" customHeight="1" spans="1:16">
      <c r="A8" s="5">
        <f t="shared" si="0"/>
        <v>4</v>
      </c>
      <c r="B8" s="12" t="str">
        <f>IF(Config!$B$10="","",Config!$B$10)</f>
        <v>Sadia Sultana Rima</v>
      </c>
      <c r="C8" s="13" t="str">
        <f>IF(Config!$B$10="","",Config!$C$10)</f>
        <v>Preschool Co-ordinator</v>
      </c>
      <c r="D8" s="9">
        <f>IF($B8="","",SUMIFS('Leave Records'!$I:$I,'Leave Records'!$B:$B,$B8,'Leave Records'!$K:$K,"Approved",'Leave Records'!$F:$F,"&gt;="&amp;DATE(Config!$I$7,1,1),'Leave Records'!$F:$F,"&lt;="&amp;EOMONTH(DATE(Config!$I$7,1,1),0)))</f>
        <v>0</v>
      </c>
      <c r="E8" s="9">
        <f>IF($B8="","",SUMIFS('Leave Records'!$I:$I,'Leave Records'!$B:$B,$B8,'Leave Records'!$K:$K,"Approved",'Leave Records'!$F:$F,"&gt;="&amp;DATE(Config!$I$7,2,1),'Leave Records'!$F:$F,"&lt;="&amp;EOMONTH(DATE(Config!$I$7,2,1),0)))</f>
        <v>0</v>
      </c>
      <c r="F8" s="9">
        <f>IF($B8="","",SUMIFS('Leave Records'!$I:$I,'Leave Records'!$B:$B,$B8,'Leave Records'!$K:$K,"Approved",'Leave Records'!$F:$F,"&gt;="&amp;DATE(Config!$I$7,3,1),'Leave Records'!$F:$F,"&lt;="&amp;EOMONTH(DATE(Config!$I$7,3,1),0)))</f>
        <v>0</v>
      </c>
      <c r="G8" s="9">
        <f>IF($B8="","",SUMIFS('Leave Records'!$I:$I,'Leave Records'!$B:$B,$B8,'Leave Records'!$K:$K,"Approved",'Leave Records'!$F:$F,"&gt;="&amp;DATE(Config!$I$7,4,1),'Leave Records'!$F:$F,"&lt;="&amp;EOMONTH(DATE(Config!$I$7,4,1),0)))</f>
        <v>2</v>
      </c>
      <c r="H8" s="9">
        <f>IF($B8="","",SUMIFS('Leave Records'!$I:$I,'Leave Records'!$B:$B,$B8,'Leave Records'!$K:$K,"Approved",'Leave Records'!$F:$F,"&gt;="&amp;DATE(Config!$I$7,5,1),'Leave Records'!$F:$F,"&lt;="&amp;EOMONTH(DATE(Config!$I$7,5,1),0)))</f>
        <v>1</v>
      </c>
      <c r="I8" s="9">
        <f>IF($B8="","",SUMIFS('Leave Records'!$I:$I,'Leave Records'!$B:$B,$B8,'Leave Records'!$K:$K,"Approved",'Leave Records'!$F:$F,"&gt;="&amp;DATE(Config!$I$7,6,1),'Leave Records'!$F:$F,"&lt;="&amp;EOMONTH(DATE(Config!$I$7,6,1),0)))</f>
        <v>0</v>
      </c>
      <c r="J8" s="9">
        <f>IF($B8="","",SUMIFS('Leave Records'!$I:$I,'Leave Records'!$B:$B,$B8,'Leave Records'!$K:$K,"Approved",'Leave Records'!$F:$F,"&gt;="&amp;DATE(Config!$I$7,7,1),'Leave Records'!$F:$F,"&lt;="&amp;EOMONTH(DATE(Config!$I$7,7,1),0)))</f>
        <v>0</v>
      </c>
      <c r="K8" s="9">
        <f>IF($B8="","",SUMIFS('Leave Records'!$I:$I,'Leave Records'!$B:$B,$B8,'Leave Records'!$K:$K,"Approved",'Leave Records'!$F:$F,"&gt;="&amp;DATE(Config!$I$7,8,1),'Leave Records'!$F:$F,"&lt;="&amp;EOMONTH(DATE(Config!$I$7,8,1),0)))</f>
        <v>0</v>
      </c>
      <c r="L8" s="9">
        <f>IF($B8="","",SUMIFS('Leave Records'!$I:$I,'Leave Records'!$B:$B,$B8,'Leave Records'!$K:$K,"Approved",'Leave Records'!$F:$F,"&gt;="&amp;DATE(Config!$I$7,9,1),'Leave Records'!$F:$F,"&lt;="&amp;EOMONTH(DATE(Config!$I$7,9,1),0)))</f>
        <v>0</v>
      </c>
      <c r="M8" s="9">
        <f>IF($B8="","",SUMIFS('Leave Records'!$I:$I,'Leave Records'!$B:$B,$B8,'Leave Records'!$K:$K,"Approved",'Leave Records'!$F:$F,"&gt;="&amp;DATE(Config!$I$7,10,1),'Leave Records'!$F:$F,"&lt;="&amp;EOMONTH(DATE(Config!$I$7,10,1),0)))</f>
        <v>0</v>
      </c>
      <c r="N8" s="9">
        <f>IF($B8="","",SUMIFS('Leave Records'!$I:$I,'Leave Records'!$B:$B,$B8,'Leave Records'!$K:$K,"Approved",'Leave Records'!$F:$F,"&gt;="&amp;DATE(Config!$I$7,11,1),'Leave Records'!$F:$F,"&lt;="&amp;EOMONTH(DATE(Config!$I$7,11,1),0)))</f>
        <v>0</v>
      </c>
      <c r="O8" s="9">
        <f>IF($B8="","",SUMIFS('Leave Records'!$I:$I,'Leave Records'!$B:$B,$B8,'Leave Records'!$K:$K,"Approved",'Leave Records'!$F:$F,"&gt;="&amp;DATE(Config!$I$7,12,1),'Leave Records'!$F:$F,"&lt;="&amp;EOMONTH(DATE(Config!$I$7,12,1),0)))</f>
        <v>0</v>
      </c>
      <c r="P8" s="14">
        <f t="shared" si="1"/>
        <v>3</v>
      </c>
    </row>
    <row r="9" ht="17" customHeight="1" spans="1:16">
      <c r="A9" s="5">
        <f t="shared" si="0"/>
        <v>5</v>
      </c>
      <c r="B9" s="6" t="str">
        <f>IF(Config!$B$11="","",Config!$B$11)</f>
        <v>Fatema Akter Mili</v>
      </c>
      <c r="C9" s="7" t="str">
        <f>IF(Config!$B$11="","",Config!$C$11)</f>
        <v/>
      </c>
      <c r="D9" s="8">
        <f>IF($B9="","",SUMIFS('Leave Records'!$I:$I,'Leave Records'!$B:$B,$B9,'Leave Records'!$K:$K,"Approved",'Leave Records'!$F:$F,"&gt;="&amp;DATE(Config!$I$7,1,1),'Leave Records'!$F:$F,"&lt;="&amp;EOMONTH(DATE(Config!$I$7,1,1),0)))</f>
        <v>0</v>
      </c>
      <c r="E9" s="9">
        <f>IF($B9="","",SUMIFS('Leave Records'!$I:$I,'Leave Records'!$B:$B,$B9,'Leave Records'!$K:$K,"Approved",'Leave Records'!$F:$F,"&gt;="&amp;DATE(Config!$I$7,2,1),'Leave Records'!$F:$F,"&lt;="&amp;EOMONTH(DATE(Config!$I$7,2,1),0)))</f>
        <v>0</v>
      </c>
      <c r="F9" s="8">
        <f>IF($B9="","",SUMIFS('Leave Records'!$I:$I,'Leave Records'!$B:$B,$B9,'Leave Records'!$K:$K,"Approved",'Leave Records'!$F:$F,"&gt;="&amp;DATE(Config!$I$7,3,1),'Leave Records'!$F:$F,"&lt;="&amp;EOMONTH(DATE(Config!$I$7,3,1),0)))</f>
        <v>0</v>
      </c>
      <c r="G9" s="10">
        <f>IF($B9="","",SUMIFS('Leave Records'!$I:$I,'Leave Records'!$B:$B,$B9,'Leave Records'!$K:$K,"Approved",'Leave Records'!$F:$F,"&gt;="&amp;DATE(Config!$I$7,4,1),'Leave Records'!$F:$F,"&lt;="&amp;EOMONTH(DATE(Config!$I$7,4,1),0)))</f>
        <v>0</v>
      </c>
      <c r="H9" s="10">
        <f>IF($B9="","",SUMIFS('Leave Records'!$I:$I,'Leave Records'!$B:$B,$B9,'Leave Records'!$K:$K,"Approved",'Leave Records'!$F:$F,"&gt;="&amp;DATE(Config!$I$7,5,1),'Leave Records'!$F:$F,"&lt;="&amp;EOMONTH(DATE(Config!$I$7,5,1),0)))</f>
        <v>0</v>
      </c>
      <c r="I9" s="8">
        <f>IF($B9="","",SUMIFS('Leave Records'!$I:$I,'Leave Records'!$B:$B,$B9,'Leave Records'!$K:$K,"Approved",'Leave Records'!$F:$F,"&gt;="&amp;DATE(Config!$I$7,6,1),'Leave Records'!$F:$F,"&lt;="&amp;EOMONTH(DATE(Config!$I$7,6,1),0)))</f>
        <v>0</v>
      </c>
      <c r="J9" s="8">
        <f>IF($B9="","",SUMIFS('Leave Records'!$I:$I,'Leave Records'!$B:$B,$B9,'Leave Records'!$K:$K,"Approved",'Leave Records'!$F:$F,"&gt;="&amp;DATE(Config!$I$7,7,1),'Leave Records'!$F:$F,"&lt;="&amp;EOMONTH(DATE(Config!$I$7,7,1),0)))</f>
        <v>0</v>
      </c>
      <c r="K9" s="9">
        <f>IF($B9="","",SUMIFS('Leave Records'!$I:$I,'Leave Records'!$B:$B,$B9,'Leave Records'!$K:$K,"Approved",'Leave Records'!$F:$F,"&gt;="&amp;DATE(Config!$I$7,8,1),'Leave Records'!$F:$F,"&lt;="&amp;EOMONTH(DATE(Config!$I$7,8,1),0)))</f>
        <v>0</v>
      </c>
      <c r="L9" s="8">
        <f>IF($B9="","",SUMIFS('Leave Records'!$I:$I,'Leave Records'!$B:$B,$B9,'Leave Records'!$K:$K,"Approved",'Leave Records'!$F:$F,"&gt;="&amp;DATE(Config!$I$7,9,1),'Leave Records'!$F:$F,"&lt;="&amp;EOMONTH(DATE(Config!$I$7,9,1),0)))</f>
        <v>0</v>
      </c>
      <c r="M9" s="10">
        <f>IF($B9="","",SUMIFS('Leave Records'!$I:$I,'Leave Records'!$B:$B,$B9,'Leave Records'!$K:$K,"Approved",'Leave Records'!$F:$F,"&gt;="&amp;DATE(Config!$I$7,10,1),'Leave Records'!$F:$F,"&lt;="&amp;EOMONTH(DATE(Config!$I$7,10,1),0)))</f>
        <v>0</v>
      </c>
      <c r="N9" s="10">
        <f>IF($B9="","",SUMIFS('Leave Records'!$I:$I,'Leave Records'!$B:$B,$B9,'Leave Records'!$K:$K,"Approved",'Leave Records'!$F:$F,"&gt;="&amp;DATE(Config!$I$7,11,1),'Leave Records'!$F:$F,"&lt;="&amp;EOMONTH(DATE(Config!$I$7,11,1),0)))</f>
        <v>0</v>
      </c>
      <c r="O9" s="8">
        <f>IF($B9="","",SUMIFS('Leave Records'!$I:$I,'Leave Records'!$B:$B,$B9,'Leave Records'!$K:$K,"Approved",'Leave Records'!$F:$F,"&gt;="&amp;DATE(Config!$I$7,12,1),'Leave Records'!$F:$F,"&lt;="&amp;EOMONTH(DATE(Config!$I$7,12,1),0)))</f>
        <v>0</v>
      </c>
      <c r="P9" s="11">
        <f t="shared" si="1"/>
        <v>0</v>
      </c>
    </row>
    <row r="10" ht="17" customHeight="1" spans="1:16">
      <c r="A10" s="5">
        <f t="shared" si="0"/>
        <v>6</v>
      </c>
      <c r="B10" s="12" t="str">
        <f>IF(Config!$B$12="","",Config!$B$12)</f>
        <v>Farida Yesmin Tamanna</v>
      </c>
      <c r="C10" s="13" t="str">
        <f>IF(Config!$B$12="","",Config!$C$12)</f>
        <v/>
      </c>
      <c r="D10" s="9">
        <f>IF($B10="","",SUMIFS('Leave Records'!$I:$I,'Leave Records'!$B:$B,$B10,'Leave Records'!$K:$K,"Approved",'Leave Records'!$F:$F,"&gt;="&amp;DATE(Config!$I$7,1,1),'Leave Records'!$F:$F,"&lt;="&amp;EOMONTH(DATE(Config!$I$7,1,1),0)))</f>
        <v>0</v>
      </c>
      <c r="E10" s="9">
        <f>IF($B10="","",SUMIFS('Leave Records'!$I:$I,'Leave Records'!$B:$B,$B10,'Leave Records'!$K:$K,"Approved",'Leave Records'!$F:$F,"&gt;="&amp;DATE(Config!$I$7,2,1),'Leave Records'!$F:$F,"&lt;="&amp;EOMONTH(DATE(Config!$I$7,2,1),0)))</f>
        <v>0</v>
      </c>
      <c r="F10" s="9">
        <f>IF($B10="","",SUMIFS('Leave Records'!$I:$I,'Leave Records'!$B:$B,$B10,'Leave Records'!$K:$K,"Approved",'Leave Records'!$F:$F,"&gt;="&amp;DATE(Config!$I$7,3,1),'Leave Records'!$F:$F,"&lt;="&amp;EOMONTH(DATE(Config!$I$7,3,1),0)))</f>
        <v>2</v>
      </c>
      <c r="G10" s="9">
        <f>IF($B10="","",SUMIFS('Leave Records'!$I:$I,'Leave Records'!$B:$B,$B10,'Leave Records'!$K:$K,"Approved",'Leave Records'!$F:$F,"&gt;="&amp;DATE(Config!$I$7,4,1),'Leave Records'!$F:$F,"&lt;="&amp;EOMONTH(DATE(Config!$I$7,4,1),0)))</f>
        <v>0</v>
      </c>
      <c r="H10" s="9">
        <f>IF($B10="","",SUMIFS('Leave Records'!$I:$I,'Leave Records'!$B:$B,$B10,'Leave Records'!$K:$K,"Approved",'Leave Records'!$F:$F,"&gt;="&amp;DATE(Config!$I$7,5,1),'Leave Records'!$F:$F,"&lt;="&amp;EOMONTH(DATE(Config!$I$7,5,1),0)))</f>
        <v>0</v>
      </c>
      <c r="I10" s="9">
        <f>IF($B10="","",SUMIFS('Leave Records'!$I:$I,'Leave Records'!$B:$B,$B10,'Leave Records'!$K:$K,"Approved",'Leave Records'!$F:$F,"&gt;="&amp;DATE(Config!$I$7,6,1),'Leave Records'!$F:$F,"&lt;="&amp;EOMONTH(DATE(Config!$I$7,6,1),0)))</f>
        <v>0</v>
      </c>
      <c r="J10" s="9">
        <f>IF($B10="","",SUMIFS('Leave Records'!$I:$I,'Leave Records'!$B:$B,$B10,'Leave Records'!$K:$K,"Approved",'Leave Records'!$F:$F,"&gt;="&amp;DATE(Config!$I$7,7,1),'Leave Records'!$F:$F,"&lt;="&amp;EOMONTH(DATE(Config!$I$7,7,1),0)))</f>
        <v>0</v>
      </c>
      <c r="K10" s="9">
        <f>IF($B10="","",SUMIFS('Leave Records'!$I:$I,'Leave Records'!$B:$B,$B10,'Leave Records'!$K:$K,"Approved",'Leave Records'!$F:$F,"&gt;="&amp;DATE(Config!$I$7,8,1),'Leave Records'!$F:$F,"&lt;="&amp;EOMONTH(DATE(Config!$I$7,8,1),0)))</f>
        <v>0</v>
      </c>
      <c r="L10" s="9">
        <f>IF($B10="","",SUMIFS('Leave Records'!$I:$I,'Leave Records'!$B:$B,$B10,'Leave Records'!$K:$K,"Approved",'Leave Records'!$F:$F,"&gt;="&amp;DATE(Config!$I$7,9,1),'Leave Records'!$F:$F,"&lt;="&amp;EOMONTH(DATE(Config!$I$7,9,1),0)))</f>
        <v>0</v>
      </c>
      <c r="M10" s="9">
        <f>IF($B10="","",SUMIFS('Leave Records'!$I:$I,'Leave Records'!$B:$B,$B10,'Leave Records'!$K:$K,"Approved",'Leave Records'!$F:$F,"&gt;="&amp;DATE(Config!$I$7,10,1),'Leave Records'!$F:$F,"&lt;="&amp;EOMONTH(DATE(Config!$I$7,10,1),0)))</f>
        <v>0</v>
      </c>
      <c r="N10" s="9">
        <f>IF($B10="","",SUMIFS('Leave Records'!$I:$I,'Leave Records'!$B:$B,$B10,'Leave Records'!$K:$K,"Approved",'Leave Records'!$F:$F,"&gt;="&amp;DATE(Config!$I$7,11,1),'Leave Records'!$F:$F,"&lt;="&amp;EOMONTH(DATE(Config!$I$7,11,1),0)))</f>
        <v>0</v>
      </c>
      <c r="O10" s="9">
        <f>IF($B10="","",SUMIFS('Leave Records'!$I:$I,'Leave Records'!$B:$B,$B10,'Leave Records'!$K:$K,"Approved",'Leave Records'!$F:$F,"&gt;="&amp;DATE(Config!$I$7,12,1),'Leave Records'!$F:$F,"&lt;="&amp;EOMONTH(DATE(Config!$I$7,12,1),0)))</f>
        <v>0</v>
      </c>
      <c r="P10" s="14">
        <f t="shared" si="1"/>
        <v>2</v>
      </c>
    </row>
    <row r="11" ht="17" customHeight="1" spans="1:16">
      <c r="A11" s="5">
        <f t="shared" si="0"/>
        <v>7</v>
      </c>
      <c r="B11" s="6" t="str">
        <f>IF(Config!$B$13="","",Config!$B$13)</f>
        <v>Shalina Akter Eity</v>
      </c>
      <c r="C11" s="7" t="str">
        <f>IF(Config!$B$13="","",Config!$C$13)</f>
        <v/>
      </c>
      <c r="D11" s="8">
        <f>IF($B11="","",SUMIFS('Leave Records'!$I:$I,'Leave Records'!$B:$B,$B11,'Leave Records'!$K:$K,"Approved",'Leave Records'!$F:$F,"&gt;="&amp;DATE(Config!$I$7,1,1),'Leave Records'!$F:$F,"&lt;="&amp;EOMONTH(DATE(Config!$I$7,1,1),0)))</f>
        <v>0</v>
      </c>
      <c r="E11" s="9">
        <f>IF($B11="","",SUMIFS('Leave Records'!$I:$I,'Leave Records'!$B:$B,$B11,'Leave Records'!$K:$K,"Approved",'Leave Records'!$F:$F,"&gt;="&amp;DATE(Config!$I$7,2,1),'Leave Records'!$F:$F,"&lt;="&amp;EOMONTH(DATE(Config!$I$7,2,1),0)))</f>
        <v>0</v>
      </c>
      <c r="F11" s="8">
        <f>IF($B11="","",SUMIFS('Leave Records'!$I:$I,'Leave Records'!$B:$B,$B11,'Leave Records'!$K:$K,"Approved",'Leave Records'!$F:$F,"&gt;="&amp;DATE(Config!$I$7,3,1),'Leave Records'!$F:$F,"&lt;="&amp;EOMONTH(DATE(Config!$I$7,3,1),0)))</f>
        <v>0</v>
      </c>
      <c r="G11" s="10">
        <f>IF($B11="","",SUMIFS('Leave Records'!$I:$I,'Leave Records'!$B:$B,$B11,'Leave Records'!$K:$K,"Approved",'Leave Records'!$F:$F,"&gt;="&amp;DATE(Config!$I$7,4,1),'Leave Records'!$F:$F,"&lt;="&amp;EOMONTH(DATE(Config!$I$7,4,1),0)))</f>
        <v>0</v>
      </c>
      <c r="H11" s="10">
        <f>IF($B11="","",SUMIFS('Leave Records'!$I:$I,'Leave Records'!$B:$B,$B11,'Leave Records'!$K:$K,"Approved",'Leave Records'!$F:$F,"&gt;="&amp;DATE(Config!$I$7,5,1),'Leave Records'!$F:$F,"&lt;="&amp;EOMONTH(DATE(Config!$I$7,5,1),0)))</f>
        <v>0</v>
      </c>
      <c r="I11" s="8">
        <f>IF($B11="","",SUMIFS('Leave Records'!$I:$I,'Leave Records'!$B:$B,$B11,'Leave Records'!$K:$K,"Approved",'Leave Records'!$F:$F,"&gt;="&amp;DATE(Config!$I$7,6,1),'Leave Records'!$F:$F,"&lt;="&amp;EOMONTH(DATE(Config!$I$7,6,1),0)))</f>
        <v>0</v>
      </c>
      <c r="J11" s="8">
        <f>IF($B11="","",SUMIFS('Leave Records'!$I:$I,'Leave Records'!$B:$B,$B11,'Leave Records'!$K:$K,"Approved",'Leave Records'!$F:$F,"&gt;="&amp;DATE(Config!$I$7,7,1),'Leave Records'!$F:$F,"&lt;="&amp;EOMONTH(DATE(Config!$I$7,7,1),0)))</f>
        <v>0</v>
      </c>
      <c r="K11" s="9">
        <f>IF($B11="","",SUMIFS('Leave Records'!$I:$I,'Leave Records'!$B:$B,$B11,'Leave Records'!$K:$K,"Approved",'Leave Records'!$F:$F,"&gt;="&amp;DATE(Config!$I$7,8,1),'Leave Records'!$F:$F,"&lt;="&amp;EOMONTH(DATE(Config!$I$7,8,1),0)))</f>
        <v>0</v>
      </c>
      <c r="L11" s="8">
        <f>IF($B11="","",SUMIFS('Leave Records'!$I:$I,'Leave Records'!$B:$B,$B11,'Leave Records'!$K:$K,"Approved",'Leave Records'!$F:$F,"&gt;="&amp;DATE(Config!$I$7,9,1),'Leave Records'!$F:$F,"&lt;="&amp;EOMONTH(DATE(Config!$I$7,9,1),0)))</f>
        <v>0</v>
      </c>
      <c r="M11" s="10">
        <f>IF($B11="","",SUMIFS('Leave Records'!$I:$I,'Leave Records'!$B:$B,$B11,'Leave Records'!$K:$K,"Approved",'Leave Records'!$F:$F,"&gt;="&amp;DATE(Config!$I$7,10,1),'Leave Records'!$F:$F,"&lt;="&amp;EOMONTH(DATE(Config!$I$7,10,1),0)))</f>
        <v>0</v>
      </c>
      <c r="N11" s="10">
        <f>IF($B11="","",SUMIFS('Leave Records'!$I:$I,'Leave Records'!$B:$B,$B11,'Leave Records'!$K:$K,"Approved",'Leave Records'!$F:$F,"&gt;="&amp;DATE(Config!$I$7,11,1),'Leave Records'!$F:$F,"&lt;="&amp;EOMONTH(DATE(Config!$I$7,11,1),0)))</f>
        <v>0</v>
      </c>
      <c r="O11" s="8">
        <f>IF($B11="","",SUMIFS('Leave Records'!$I:$I,'Leave Records'!$B:$B,$B11,'Leave Records'!$K:$K,"Approved",'Leave Records'!$F:$F,"&gt;="&amp;DATE(Config!$I$7,12,1),'Leave Records'!$F:$F,"&lt;="&amp;EOMONTH(DATE(Config!$I$7,12,1),0)))</f>
        <v>0</v>
      </c>
      <c r="P11" s="11">
        <f t="shared" si="1"/>
        <v>0</v>
      </c>
    </row>
    <row r="12" ht="17" customHeight="1" spans="1:16">
      <c r="A12" s="5">
        <f t="shared" si="0"/>
        <v>8</v>
      </c>
      <c r="B12" s="12" t="str">
        <f>IF(Config!$B$14="","",Config!$B$14)</f>
        <v>Rabia Sultana Prity</v>
      </c>
      <c r="C12" s="13" t="str">
        <f>IF(Config!$B$14="","",Config!$C$14)</f>
        <v>Class Teacher</v>
      </c>
      <c r="D12" s="9">
        <f>IF($B12="","",SUMIFS('Leave Records'!$I:$I,'Leave Records'!$B:$B,$B12,'Leave Records'!$K:$K,"Approved",'Leave Records'!$F:$F,"&gt;="&amp;DATE(Config!$I$7,1,1),'Leave Records'!$F:$F,"&lt;="&amp;EOMONTH(DATE(Config!$I$7,1,1),0)))</f>
        <v>0</v>
      </c>
      <c r="E12" s="9">
        <f>IF($B12="","",SUMIFS('Leave Records'!$I:$I,'Leave Records'!$B:$B,$B12,'Leave Records'!$K:$K,"Approved",'Leave Records'!$F:$F,"&gt;="&amp;DATE(Config!$I$7,2,1),'Leave Records'!$F:$F,"&lt;="&amp;EOMONTH(DATE(Config!$I$7,2,1),0)))</f>
        <v>0</v>
      </c>
      <c r="F12" s="9">
        <f>IF($B12="","",SUMIFS('Leave Records'!$I:$I,'Leave Records'!$B:$B,$B12,'Leave Records'!$K:$K,"Approved",'Leave Records'!$F:$F,"&gt;="&amp;DATE(Config!$I$7,3,1),'Leave Records'!$F:$F,"&lt;="&amp;EOMONTH(DATE(Config!$I$7,3,1),0)))</f>
        <v>5</v>
      </c>
      <c r="G12" s="9">
        <f>IF($B12="","",SUMIFS('Leave Records'!$I:$I,'Leave Records'!$B:$B,$B12,'Leave Records'!$K:$K,"Approved",'Leave Records'!$F:$F,"&gt;="&amp;DATE(Config!$I$7,4,1),'Leave Records'!$F:$F,"&lt;="&amp;EOMONTH(DATE(Config!$I$7,4,1),0)))</f>
        <v>0</v>
      </c>
      <c r="H12" s="9">
        <f>IF($B12="","",SUMIFS('Leave Records'!$I:$I,'Leave Records'!$B:$B,$B12,'Leave Records'!$K:$K,"Approved",'Leave Records'!$F:$F,"&gt;="&amp;DATE(Config!$I$7,5,1),'Leave Records'!$F:$F,"&lt;="&amp;EOMONTH(DATE(Config!$I$7,5,1),0)))</f>
        <v>0</v>
      </c>
      <c r="I12" s="9">
        <f>IF($B12="","",SUMIFS('Leave Records'!$I:$I,'Leave Records'!$B:$B,$B12,'Leave Records'!$K:$K,"Approved",'Leave Records'!$F:$F,"&gt;="&amp;DATE(Config!$I$7,6,1),'Leave Records'!$F:$F,"&lt;="&amp;EOMONTH(DATE(Config!$I$7,6,1),0)))</f>
        <v>0</v>
      </c>
      <c r="J12" s="9">
        <f>IF($B12="","",SUMIFS('Leave Records'!$I:$I,'Leave Records'!$B:$B,$B12,'Leave Records'!$K:$K,"Approved",'Leave Records'!$F:$F,"&gt;="&amp;DATE(Config!$I$7,7,1),'Leave Records'!$F:$F,"&lt;="&amp;EOMONTH(DATE(Config!$I$7,7,1),0)))</f>
        <v>0</v>
      </c>
      <c r="K12" s="9">
        <f>IF($B12="","",SUMIFS('Leave Records'!$I:$I,'Leave Records'!$B:$B,$B12,'Leave Records'!$K:$K,"Approved",'Leave Records'!$F:$F,"&gt;="&amp;DATE(Config!$I$7,8,1),'Leave Records'!$F:$F,"&lt;="&amp;EOMONTH(DATE(Config!$I$7,8,1),0)))</f>
        <v>0</v>
      </c>
      <c r="L12" s="9">
        <f>IF($B12="","",SUMIFS('Leave Records'!$I:$I,'Leave Records'!$B:$B,$B12,'Leave Records'!$K:$K,"Approved",'Leave Records'!$F:$F,"&gt;="&amp;DATE(Config!$I$7,9,1),'Leave Records'!$F:$F,"&lt;="&amp;EOMONTH(DATE(Config!$I$7,9,1),0)))</f>
        <v>0</v>
      </c>
      <c r="M12" s="9">
        <f>IF($B12="","",SUMIFS('Leave Records'!$I:$I,'Leave Records'!$B:$B,$B12,'Leave Records'!$K:$K,"Approved",'Leave Records'!$F:$F,"&gt;="&amp;DATE(Config!$I$7,10,1),'Leave Records'!$F:$F,"&lt;="&amp;EOMONTH(DATE(Config!$I$7,10,1),0)))</f>
        <v>0</v>
      </c>
      <c r="N12" s="9">
        <f>IF($B12="","",SUMIFS('Leave Records'!$I:$I,'Leave Records'!$B:$B,$B12,'Leave Records'!$K:$K,"Approved",'Leave Records'!$F:$F,"&gt;="&amp;DATE(Config!$I$7,11,1),'Leave Records'!$F:$F,"&lt;="&amp;EOMONTH(DATE(Config!$I$7,11,1),0)))</f>
        <v>0</v>
      </c>
      <c r="O12" s="9">
        <f>IF($B12="","",SUMIFS('Leave Records'!$I:$I,'Leave Records'!$B:$B,$B12,'Leave Records'!$K:$K,"Approved",'Leave Records'!$F:$F,"&gt;="&amp;DATE(Config!$I$7,12,1),'Leave Records'!$F:$F,"&lt;="&amp;EOMONTH(DATE(Config!$I$7,12,1),0)))</f>
        <v>0</v>
      </c>
      <c r="P12" s="14">
        <f t="shared" si="1"/>
        <v>5</v>
      </c>
    </row>
    <row r="13" ht="17" customHeight="1" spans="1:16">
      <c r="A13" s="5">
        <f t="shared" si="0"/>
        <v>9</v>
      </c>
      <c r="B13" s="6" t="str">
        <f>IF(Config!$B$15="","",Config!$B$15)</f>
        <v>Afrin Jahan Uzma</v>
      </c>
      <c r="C13" s="7" t="str">
        <f>IF(Config!$B$15="","",Config!$C$15)</f>
        <v>Lead Teacher</v>
      </c>
      <c r="D13" s="8">
        <f>IF($B13="","",SUMIFS('Leave Records'!$I:$I,'Leave Records'!$B:$B,$B13,'Leave Records'!$K:$K,"Approved",'Leave Records'!$F:$F,"&gt;="&amp;DATE(Config!$I$7,1,1),'Leave Records'!$F:$F,"&lt;="&amp;EOMONTH(DATE(Config!$I$7,1,1),0)))</f>
        <v>0</v>
      </c>
      <c r="E13" s="9">
        <f>IF($B13="","",SUMIFS('Leave Records'!$I:$I,'Leave Records'!$B:$B,$B13,'Leave Records'!$K:$K,"Approved",'Leave Records'!$F:$F,"&gt;="&amp;DATE(Config!$I$7,2,1),'Leave Records'!$F:$F,"&lt;="&amp;EOMONTH(DATE(Config!$I$7,2,1),0)))</f>
        <v>0</v>
      </c>
      <c r="F13" s="8">
        <f>IF($B13="","",SUMIFS('Leave Records'!$I:$I,'Leave Records'!$B:$B,$B13,'Leave Records'!$K:$K,"Approved",'Leave Records'!$F:$F,"&gt;="&amp;DATE(Config!$I$7,3,1),'Leave Records'!$F:$F,"&lt;="&amp;EOMONTH(DATE(Config!$I$7,3,1),0)))</f>
        <v>1</v>
      </c>
      <c r="G13" s="10">
        <f>IF($B13="","",SUMIFS('Leave Records'!$I:$I,'Leave Records'!$B:$B,$B13,'Leave Records'!$K:$K,"Approved",'Leave Records'!$F:$F,"&gt;="&amp;DATE(Config!$I$7,4,1),'Leave Records'!$F:$F,"&lt;="&amp;EOMONTH(DATE(Config!$I$7,4,1),0)))</f>
        <v>1</v>
      </c>
      <c r="H13" s="10">
        <f>IF($B13="","",SUMIFS('Leave Records'!$I:$I,'Leave Records'!$B:$B,$B13,'Leave Records'!$K:$K,"Approved",'Leave Records'!$F:$F,"&gt;="&amp;DATE(Config!$I$7,5,1),'Leave Records'!$F:$F,"&lt;="&amp;EOMONTH(DATE(Config!$I$7,5,1),0)))</f>
        <v>3</v>
      </c>
      <c r="I13" s="8">
        <f>IF($B13="","",SUMIFS('Leave Records'!$I:$I,'Leave Records'!$B:$B,$B13,'Leave Records'!$K:$K,"Approved",'Leave Records'!$F:$F,"&gt;="&amp;DATE(Config!$I$7,6,1),'Leave Records'!$F:$F,"&lt;="&amp;EOMONTH(DATE(Config!$I$7,6,1),0)))</f>
        <v>0</v>
      </c>
      <c r="J13" s="8">
        <f>IF($B13="","",SUMIFS('Leave Records'!$I:$I,'Leave Records'!$B:$B,$B13,'Leave Records'!$K:$K,"Approved",'Leave Records'!$F:$F,"&gt;="&amp;DATE(Config!$I$7,7,1),'Leave Records'!$F:$F,"&lt;="&amp;EOMONTH(DATE(Config!$I$7,7,1),0)))</f>
        <v>0</v>
      </c>
      <c r="K13" s="9">
        <f>IF($B13="","",SUMIFS('Leave Records'!$I:$I,'Leave Records'!$B:$B,$B13,'Leave Records'!$K:$K,"Approved",'Leave Records'!$F:$F,"&gt;="&amp;DATE(Config!$I$7,8,1),'Leave Records'!$F:$F,"&lt;="&amp;EOMONTH(DATE(Config!$I$7,8,1),0)))</f>
        <v>0</v>
      </c>
      <c r="L13" s="8">
        <f>IF($B13="","",SUMIFS('Leave Records'!$I:$I,'Leave Records'!$B:$B,$B13,'Leave Records'!$K:$K,"Approved",'Leave Records'!$F:$F,"&gt;="&amp;DATE(Config!$I$7,9,1),'Leave Records'!$F:$F,"&lt;="&amp;EOMONTH(DATE(Config!$I$7,9,1),0)))</f>
        <v>0</v>
      </c>
      <c r="M13" s="10">
        <f>IF($B13="","",SUMIFS('Leave Records'!$I:$I,'Leave Records'!$B:$B,$B13,'Leave Records'!$K:$K,"Approved",'Leave Records'!$F:$F,"&gt;="&amp;DATE(Config!$I$7,10,1),'Leave Records'!$F:$F,"&lt;="&amp;EOMONTH(DATE(Config!$I$7,10,1),0)))</f>
        <v>0</v>
      </c>
      <c r="N13" s="10">
        <f>IF($B13="","",SUMIFS('Leave Records'!$I:$I,'Leave Records'!$B:$B,$B13,'Leave Records'!$K:$K,"Approved",'Leave Records'!$F:$F,"&gt;="&amp;DATE(Config!$I$7,11,1),'Leave Records'!$F:$F,"&lt;="&amp;EOMONTH(DATE(Config!$I$7,11,1),0)))</f>
        <v>0</v>
      </c>
      <c r="O13" s="8">
        <f>IF($B13="","",SUMIFS('Leave Records'!$I:$I,'Leave Records'!$B:$B,$B13,'Leave Records'!$K:$K,"Approved",'Leave Records'!$F:$F,"&gt;="&amp;DATE(Config!$I$7,12,1),'Leave Records'!$F:$F,"&lt;="&amp;EOMONTH(DATE(Config!$I$7,12,1),0)))</f>
        <v>0</v>
      </c>
      <c r="P13" s="11">
        <f t="shared" si="1"/>
        <v>5</v>
      </c>
    </row>
    <row r="14" ht="17" customHeight="1" spans="1:16">
      <c r="A14" s="5">
        <f t="shared" si="0"/>
        <v>10</v>
      </c>
      <c r="B14" s="12" t="str">
        <f>IF(Config!$B$16="","",Config!$B$16)</f>
        <v>Ariful Islam Maruf</v>
      </c>
      <c r="C14" s="13" t="str">
        <f>IF(Config!$B$16="","",Config!$C$16)</f>
        <v/>
      </c>
      <c r="D14" s="9">
        <f>IF($B14="","",SUMIFS('Leave Records'!$I:$I,'Leave Records'!$B:$B,$B14,'Leave Records'!$K:$K,"Approved",'Leave Records'!$F:$F,"&gt;="&amp;DATE(Config!$I$7,1,1),'Leave Records'!$F:$F,"&lt;="&amp;EOMONTH(DATE(Config!$I$7,1,1),0)))</f>
        <v>0</v>
      </c>
      <c r="E14" s="9">
        <f>IF($B14="","",SUMIFS('Leave Records'!$I:$I,'Leave Records'!$B:$B,$B14,'Leave Records'!$K:$K,"Approved",'Leave Records'!$F:$F,"&gt;="&amp;DATE(Config!$I$7,2,1),'Leave Records'!$F:$F,"&lt;="&amp;EOMONTH(DATE(Config!$I$7,2,1),0)))</f>
        <v>0</v>
      </c>
      <c r="F14" s="9">
        <f>IF($B14="","",SUMIFS('Leave Records'!$I:$I,'Leave Records'!$B:$B,$B14,'Leave Records'!$K:$K,"Approved",'Leave Records'!$F:$F,"&gt;="&amp;DATE(Config!$I$7,3,1),'Leave Records'!$F:$F,"&lt;="&amp;EOMONTH(DATE(Config!$I$7,3,1),0)))</f>
        <v>2</v>
      </c>
      <c r="G14" s="9">
        <f>IF($B14="","",SUMIFS('Leave Records'!$I:$I,'Leave Records'!$B:$B,$B14,'Leave Records'!$K:$K,"Approved",'Leave Records'!$F:$F,"&gt;="&amp;DATE(Config!$I$7,4,1),'Leave Records'!$F:$F,"&lt;="&amp;EOMONTH(DATE(Config!$I$7,4,1),0)))</f>
        <v>0</v>
      </c>
      <c r="H14" s="9">
        <f>IF($B14="","",SUMIFS('Leave Records'!$I:$I,'Leave Records'!$B:$B,$B14,'Leave Records'!$K:$K,"Approved",'Leave Records'!$F:$F,"&gt;="&amp;DATE(Config!$I$7,5,1),'Leave Records'!$F:$F,"&lt;="&amp;EOMONTH(DATE(Config!$I$7,5,1),0)))</f>
        <v>0</v>
      </c>
      <c r="I14" s="9">
        <f>IF($B14="","",SUMIFS('Leave Records'!$I:$I,'Leave Records'!$B:$B,$B14,'Leave Records'!$K:$K,"Approved",'Leave Records'!$F:$F,"&gt;="&amp;DATE(Config!$I$7,6,1),'Leave Records'!$F:$F,"&lt;="&amp;EOMONTH(DATE(Config!$I$7,6,1),0)))</f>
        <v>0</v>
      </c>
      <c r="J14" s="9">
        <f>IF($B14="","",SUMIFS('Leave Records'!$I:$I,'Leave Records'!$B:$B,$B14,'Leave Records'!$K:$K,"Approved",'Leave Records'!$F:$F,"&gt;="&amp;DATE(Config!$I$7,7,1),'Leave Records'!$F:$F,"&lt;="&amp;EOMONTH(DATE(Config!$I$7,7,1),0)))</f>
        <v>0</v>
      </c>
      <c r="K14" s="9">
        <f>IF($B14="","",SUMIFS('Leave Records'!$I:$I,'Leave Records'!$B:$B,$B14,'Leave Records'!$K:$K,"Approved",'Leave Records'!$F:$F,"&gt;="&amp;DATE(Config!$I$7,8,1),'Leave Records'!$F:$F,"&lt;="&amp;EOMONTH(DATE(Config!$I$7,8,1),0)))</f>
        <v>0</v>
      </c>
      <c r="L14" s="9">
        <f>IF($B14="","",SUMIFS('Leave Records'!$I:$I,'Leave Records'!$B:$B,$B14,'Leave Records'!$K:$K,"Approved",'Leave Records'!$F:$F,"&gt;="&amp;DATE(Config!$I$7,9,1),'Leave Records'!$F:$F,"&lt;="&amp;EOMONTH(DATE(Config!$I$7,9,1),0)))</f>
        <v>0</v>
      </c>
      <c r="M14" s="9">
        <f>IF($B14="","",SUMIFS('Leave Records'!$I:$I,'Leave Records'!$B:$B,$B14,'Leave Records'!$K:$K,"Approved",'Leave Records'!$F:$F,"&gt;="&amp;DATE(Config!$I$7,10,1),'Leave Records'!$F:$F,"&lt;="&amp;EOMONTH(DATE(Config!$I$7,10,1),0)))</f>
        <v>0</v>
      </c>
      <c r="N14" s="9">
        <f>IF($B14="","",SUMIFS('Leave Records'!$I:$I,'Leave Records'!$B:$B,$B14,'Leave Records'!$K:$K,"Approved",'Leave Records'!$F:$F,"&gt;="&amp;DATE(Config!$I$7,11,1),'Leave Records'!$F:$F,"&lt;="&amp;EOMONTH(DATE(Config!$I$7,11,1),0)))</f>
        <v>0</v>
      </c>
      <c r="O14" s="9">
        <f>IF($B14="","",SUMIFS('Leave Records'!$I:$I,'Leave Records'!$B:$B,$B14,'Leave Records'!$K:$K,"Approved",'Leave Records'!$F:$F,"&gt;="&amp;DATE(Config!$I$7,12,1),'Leave Records'!$F:$F,"&lt;="&amp;EOMONTH(DATE(Config!$I$7,12,1),0)))</f>
        <v>0</v>
      </c>
      <c r="P14" s="14">
        <f t="shared" si="1"/>
        <v>2</v>
      </c>
    </row>
    <row r="15" ht="17" customHeight="1" spans="1:16">
      <c r="A15" s="5">
        <f t="shared" si="0"/>
        <v>11</v>
      </c>
      <c r="B15" s="6" t="str">
        <f>IF(Config!$B$17="","",Config!$B$17)</f>
        <v>Jinat Farhana Chy</v>
      </c>
      <c r="C15" s="7" t="str">
        <f>IF(Config!$B$17="","",Config!$C$17)</f>
        <v>Asst. Co-ord. (Pre-School)</v>
      </c>
      <c r="D15" s="8">
        <f>IF($B15="","",SUMIFS('Leave Records'!$I:$I,'Leave Records'!$B:$B,$B15,'Leave Records'!$K:$K,"Approved",'Leave Records'!$F:$F,"&gt;="&amp;DATE(Config!$I$7,1,1),'Leave Records'!$F:$F,"&lt;="&amp;EOMONTH(DATE(Config!$I$7,1,1),0)))</f>
        <v>0</v>
      </c>
      <c r="E15" s="9">
        <f>IF($B15="","",SUMIFS('Leave Records'!$I:$I,'Leave Records'!$B:$B,$B15,'Leave Records'!$K:$K,"Approved",'Leave Records'!$F:$F,"&gt;="&amp;DATE(Config!$I$7,2,1),'Leave Records'!$F:$F,"&lt;="&amp;EOMONTH(DATE(Config!$I$7,2,1),0)))</f>
        <v>0</v>
      </c>
      <c r="F15" s="8">
        <f>IF($B15="","",SUMIFS('Leave Records'!$I:$I,'Leave Records'!$B:$B,$B15,'Leave Records'!$K:$K,"Approved",'Leave Records'!$F:$F,"&gt;="&amp;DATE(Config!$I$7,3,1),'Leave Records'!$F:$F,"&lt;="&amp;EOMONTH(DATE(Config!$I$7,3,1),0)))</f>
        <v>1</v>
      </c>
      <c r="G15" s="10">
        <f>IF($B15="","",SUMIFS('Leave Records'!$I:$I,'Leave Records'!$B:$B,$B15,'Leave Records'!$K:$K,"Approved",'Leave Records'!$F:$F,"&gt;="&amp;DATE(Config!$I$7,4,1),'Leave Records'!$F:$F,"&lt;="&amp;EOMONTH(DATE(Config!$I$7,4,1),0)))</f>
        <v>4</v>
      </c>
      <c r="H15" s="10">
        <f>IF($B15="","",SUMIFS('Leave Records'!$I:$I,'Leave Records'!$B:$B,$B15,'Leave Records'!$K:$K,"Approved",'Leave Records'!$F:$F,"&gt;="&amp;DATE(Config!$I$7,5,1),'Leave Records'!$F:$F,"&lt;="&amp;EOMONTH(DATE(Config!$I$7,5,1),0)))</f>
        <v>0</v>
      </c>
      <c r="I15" s="8">
        <f>IF($B15="","",SUMIFS('Leave Records'!$I:$I,'Leave Records'!$B:$B,$B15,'Leave Records'!$K:$K,"Approved",'Leave Records'!$F:$F,"&gt;="&amp;DATE(Config!$I$7,6,1),'Leave Records'!$F:$F,"&lt;="&amp;EOMONTH(DATE(Config!$I$7,6,1),0)))</f>
        <v>1</v>
      </c>
      <c r="J15" s="8">
        <f>IF($B15="","",SUMIFS('Leave Records'!$I:$I,'Leave Records'!$B:$B,$B15,'Leave Records'!$K:$K,"Approved",'Leave Records'!$F:$F,"&gt;="&amp;DATE(Config!$I$7,7,1),'Leave Records'!$F:$F,"&lt;="&amp;EOMONTH(DATE(Config!$I$7,7,1),0)))</f>
        <v>0</v>
      </c>
      <c r="K15" s="9">
        <f>IF($B15="","",SUMIFS('Leave Records'!$I:$I,'Leave Records'!$B:$B,$B15,'Leave Records'!$K:$K,"Approved",'Leave Records'!$F:$F,"&gt;="&amp;DATE(Config!$I$7,8,1),'Leave Records'!$F:$F,"&lt;="&amp;EOMONTH(DATE(Config!$I$7,8,1),0)))</f>
        <v>0</v>
      </c>
      <c r="L15" s="8">
        <f>IF($B15="","",SUMIFS('Leave Records'!$I:$I,'Leave Records'!$B:$B,$B15,'Leave Records'!$K:$K,"Approved",'Leave Records'!$F:$F,"&gt;="&amp;DATE(Config!$I$7,9,1),'Leave Records'!$F:$F,"&lt;="&amp;EOMONTH(DATE(Config!$I$7,9,1),0)))</f>
        <v>0</v>
      </c>
      <c r="M15" s="10">
        <f>IF($B15="","",SUMIFS('Leave Records'!$I:$I,'Leave Records'!$B:$B,$B15,'Leave Records'!$K:$K,"Approved",'Leave Records'!$F:$F,"&gt;="&amp;DATE(Config!$I$7,10,1),'Leave Records'!$F:$F,"&lt;="&amp;EOMONTH(DATE(Config!$I$7,10,1),0)))</f>
        <v>0</v>
      </c>
      <c r="N15" s="10">
        <f>IF($B15="","",SUMIFS('Leave Records'!$I:$I,'Leave Records'!$B:$B,$B15,'Leave Records'!$K:$K,"Approved",'Leave Records'!$F:$F,"&gt;="&amp;DATE(Config!$I$7,11,1),'Leave Records'!$F:$F,"&lt;="&amp;EOMONTH(DATE(Config!$I$7,11,1),0)))</f>
        <v>0</v>
      </c>
      <c r="O15" s="8">
        <f>IF($B15="","",SUMIFS('Leave Records'!$I:$I,'Leave Records'!$B:$B,$B15,'Leave Records'!$K:$K,"Approved",'Leave Records'!$F:$F,"&gt;="&amp;DATE(Config!$I$7,12,1),'Leave Records'!$F:$F,"&lt;="&amp;EOMONTH(DATE(Config!$I$7,12,1),0)))</f>
        <v>0</v>
      </c>
      <c r="P15" s="11">
        <f t="shared" si="1"/>
        <v>6</v>
      </c>
    </row>
    <row r="16" ht="17" customHeight="1" spans="1:16">
      <c r="A16" s="5">
        <f t="shared" si="0"/>
        <v>12</v>
      </c>
      <c r="B16" s="12" t="str">
        <f>IF(Config!$B$18="","",Config!$B$18)</f>
        <v>Tabassuma Barat Chowdhury</v>
      </c>
      <c r="C16" s="13" t="str">
        <f>IF(Config!$B$18="","",Config!$C$18)</f>
        <v>Primary Co-ordinator</v>
      </c>
      <c r="D16" s="9">
        <f>IF($B16="","",SUMIFS('Leave Records'!$I:$I,'Leave Records'!$B:$B,$B16,'Leave Records'!$K:$K,"Approved",'Leave Records'!$F:$F,"&gt;="&amp;DATE(Config!$I$7,1,1),'Leave Records'!$F:$F,"&lt;="&amp;EOMONTH(DATE(Config!$I$7,1,1),0)))</f>
        <v>0</v>
      </c>
      <c r="E16" s="9">
        <f>IF($B16="","",SUMIFS('Leave Records'!$I:$I,'Leave Records'!$B:$B,$B16,'Leave Records'!$K:$K,"Approved",'Leave Records'!$F:$F,"&gt;="&amp;DATE(Config!$I$7,2,1),'Leave Records'!$F:$F,"&lt;="&amp;EOMONTH(DATE(Config!$I$7,2,1),0)))</f>
        <v>0</v>
      </c>
      <c r="F16" s="9">
        <f>IF($B16="","",SUMIFS('Leave Records'!$I:$I,'Leave Records'!$B:$B,$B16,'Leave Records'!$K:$K,"Approved",'Leave Records'!$F:$F,"&gt;="&amp;DATE(Config!$I$7,3,1),'Leave Records'!$F:$F,"&lt;="&amp;EOMONTH(DATE(Config!$I$7,3,1),0)))</f>
        <v>0</v>
      </c>
      <c r="G16" s="9">
        <f>IF($B16="","",SUMIFS('Leave Records'!$I:$I,'Leave Records'!$B:$B,$B16,'Leave Records'!$K:$K,"Approved",'Leave Records'!$F:$F,"&gt;="&amp;DATE(Config!$I$7,4,1),'Leave Records'!$F:$F,"&lt;="&amp;EOMONTH(DATE(Config!$I$7,4,1),0)))</f>
        <v>0</v>
      </c>
      <c r="H16" s="9">
        <f>IF($B16="","",SUMIFS('Leave Records'!$I:$I,'Leave Records'!$B:$B,$B16,'Leave Records'!$K:$K,"Approved",'Leave Records'!$F:$F,"&gt;="&amp;DATE(Config!$I$7,5,1),'Leave Records'!$F:$F,"&lt;="&amp;EOMONTH(DATE(Config!$I$7,5,1),0)))</f>
        <v>1</v>
      </c>
      <c r="I16" s="9">
        <f>IF($B16="","",SUMIFS('Leave Records'!$I:$I,'Leave Records'!$B:$B,$B16,'Leave Records'!$K:$K,"Approved",'Leave Records'!$F:$F,"&gt;="&amp;DATE(Config!$I$7,6,1),'Leave Records'!$F:$F,"&lt;="&amp;EOMONTH(DATE(Config!$I$7,6,1),0)))</f>
        <v>0</v>
      </c>
      <c r="J16" s="9">
        <f>IF($B16="","",SUMIFS('Leave Records'!$I:$I,'Leave Records'!$B:$B,$B16,'Leave Records'!$K:$K,"Approved",'Leave Records'!$F:$F,"&gt;="&amp;DATE(Config!$I$7,7,1),'Leave Records'!$F:$F,"&lt;="&amp;EOMONTH(DATE(Config!$I$7,7,1),0)))</f>
        <v>0</v>
      </c>
      <c r="K16" s="9">
        <f>IF($B16="","",SUMIFS('Leave Records'!$I:$I,'Leave Records'!$B:$B,$B16,'Leave Records'!$K:$K,"Approved",'Leave Records'!$F:$F,"&gt;="&amp;DATE(Config!$I$7,8,1),'Leave Records'!$F:$F,"&lt;="&amp;EOMONTH(DATE(Config!$I$7,8,1),0)))</f>
        <v>0</v>
      </c>
      <c r="L16" s="9">
        <f>IF($B16="","",SUMIFS('Leave Records'!$I:$I,'Leave Records'!$B:$B,$B16,'Leave Records'!$K:$K,"Approved",'Leave Records'!$F:$F,"&gt;="&amp;DATE(Config!$I$7,9,1),'Leave Records'!$F:$F,"&lt;="&amp;EOMONTH(DATE(Config!$I$7,9,1),0)))</f>
        <v>0</v>
      </c>
      <c r="M16" s="9">
        <f>IF($B16="","",SUMIFS('Leave Records'!$I:$I,'Leave Records'!$B:$B,$B16,'Leave Records'!$K:$K,"Approved",'Leave Records'!$F:$F,"&gt;="&amp;DATE(Config!$I$7,10,1),'Leave Records'!$F:$F,"&lt;="&amp;EOMONTH(DATE(Config!$I$7,10,1),0)))</f>
        <v>0</v>
      </c>
      <c r="N16" s="9">
        <f>IF($B16="","",SUMIFS('Leave Records'!$I:$I,'Leave Records'!$B:$B,$B16,'Leave Records'!$K:$K,"Approved",'Leave Records'!$F:$F,"&gt;="&amp;DATE(Config!$I$7,11,1),'Leave Records'!$F:$F,"&lt;="&amp;EOMONTH(DATE(Config!$I$7,11,1),0)))</f>
        <v>0</v>
      </c>
      <c r="O16" s="9">
        <f>IF($B16="","",SUMIFS('Leave Records'!$I:$I,'Leave Records'!$B:$B,$B16,'Leave Records'!$K:$K,"Approved",'Leave Records'!$F:$F,"&gt;="&amp;DATE(Config!$I$7,12,1),'Leave Records'!$F:$F,"&lt;="&amp;EOMONTH(DATE(Config!$I$7,12,1),0)))</f>
        <v>0</v>
      </c>
      <c r="P16" s="14">
        <f t="shared" si="1"/>
        <v>1</v>
      </c>
    </row>
    <row r="17" ht="17" customHeight="1" spans="1:16">
      <c r="A17" s="5">
        <f t="shared" si="0"/>
        <v>13</v>
      </c>
      <c r="B17" s="6" t="str">
        <f>IF(Config!$B$19="","",Config!$B$19)</f>
        <v>Sumaya Rahman</v>
      </c>
      <c r="C17" s="7" t="str">
        <f>IF(Config!$B$19="","",Config!$C$19)</f>
        <v>Asst. Co-ord. (Secondary)</v>
      </c>
      <c r="D17" s="8">
        <f>IF($B17="","",SUMIFS('Leave Records'!$I:$I,'Leave Records'!$B:$B,$B17,'Leave Records'!$K:$K,"Approved",'Leave Records'!$F:$F,"&gt;="&amp;DATE(Config!$I$7,1,1),'Leave Records'!$F:$F,"&lt;="&amp;EOMONTH(DATE(Config!$I$7,1,1),0)))</f>
        <v>0</v>
      </c>
      <c r="E17" s="9">
        <f>IF($B17="","",SUMIFS('Leave Records'!$I:$I,'Leave Records'!$B:$B,$B17,'Leave Records'!$K:$K,"Approved",'Leave Records'!$F:$F,"&gt;="&amp;DATE(Config!$I$7,2,1),'Leave Records'!$F:$F,"&lt;="&amp;EOMONTH(DATE(Config!$I$7,2,1),0)))</f>
        <v>0</v>
      </c>
      <c r="F17" s="8">
        <f>IF($B17="","",SUMIFS('Leave Records'!$I:$I,'Leave Records'!$B:$B,$B17,'Leave Records'!$K:$K,"Approved",'Leave Records'!$F:$F,"&gt;="&amp;DATE(Config!$I$7,3,1),'Leave Records'!$F:$F,"&lt;="&amp;EOMONTH(DATE(Config!$I$7,3,1),0)))</f>
        <v>0</v>
      </c>
      <c r="G17" s="10">
        <f>IF($B17="","",SUMIFS('Leave Records'!$I:$I,'Leave Records'!$B:$B,$B17,'Leave Records'!$K:$K,"Approved",'Leave Records'!$F:$F,"&gt;="&amp;DATE(Config!$I$7,4,1),'Leave Records'!$F:$F,"&lt;="&amp;EOMONTH(DATE(Config!$I$7,4,1),0)))</f>
        <v>0</v>
      </c>
      <c r="H17" s="10">
        <f>IF($B17="","",SUMIFS('Leave Records'!$I:$I,'Leave Records'!$B:$B,$B17,'Leave Records'!$K:$K,"Approved",'Leave Records'!$F:$F,"&gt;="&amp;DATE(Config!$I$7,5,1),'Leave Records'!$F:$F,"&lt;="&amp;EOMONTH(DATE(Config!$I$7,5,1),0)))</f>
        <v>3</v>
      </c>
      <c r="I17" s="8">
        <f>IF($B17="","",SUMIFS('Leave Records'!$I:$I,'Leave Records'!$B:$B,$B17,'Leave Records'!$K:$K,"Approved",'Leave Records'!$F:$F,"&gt;="&amp;DATE(Config!$I$7,6,1),'Leave Records'!$F:$F,"&lt;="&amp;EOMONTH(DATE(Config!$I$7,6,1),0)))</f>
        <v>0</v>
      </c>
      <c r="J17" s="8">
        <f>IF($B17="","",SUMIFS('Leave Records'!$I:$I,'Leave Records'!$B:$B,$B17,'Leave Records'!$K:$K,"Approved",'Leave Records'!$F:$F,"&gt;="&amp;DATE(Config!$I$7,7,1),'Leave Records'!$F:$F,"&lt;="&amp;EOMONTH(DATE(Config!$I$7,7,1),0)))</f>
        <v>0</v>
      </c>
      <c r="K17" s="9">
        <f>IF($B17="","",SUMIFS('Leave Records'!$I:$I,'Leave Records'!$B:$B,$B17,'Leave Records'!$K:$K,"Approved",'Leave Records'!$F:$F,"&gt;="&amp;DATE(Config!$I$7,8,1),'Leave Records'!$F:$F,"&lt;="&amp;EOMONTH(DATE(Config!$I$7,8,1),0)))</f>
        <v>0</v>
      </c>
      <c r="L17" s="8">
        <f>IF($B17="","",SUMIFS('Leave Records'!$I:$I,'Leave Records'!$B:$B,$B17,'Leave Records'!$K:$K,"Approved",'Leave Records'!$F:$F,"&gt;="&amp;DATE(Config!$I$7,9,1),'Leave Records'!$F:$F,"&lt;="&amp;EOMONTH(DATE(Config!$I$7,9,1),0)))</f>
        <v>0</v>
      </c>
      <c r="M17" s="10">
        <f>IF($B17="","",SUMIFS('Leave Records'!$I:$I,'Leave Records'!$B:$B,$B17,'Leave Records'!$K:$K,"Approved",'Leave Records'!$F:$F,"&gt;="&amp;DATE(Config!$I$7,10,1),'Leave Records'!$F:$F,"&lt;="&amp;EOMONTH(DATE(Config!$I$7,10,1),0)))</f>
        <v>0</v>
      </c>
      <c r="N17" s="10">
        <f>IF($B17="","",SUMIFS('Leave Records'!$I:$I,'Leave Records'!$B:$B,$B17,'Leave Records'!$K:$K,"Approved",'Leave Records'!$F:$F,"&gt;="&amp;DATE(Config!$I$7,11,1),'Leave Records'!$F:$F,"&lt;="&amp;EOMONTH(DATE(Config!$I$7,11,1),0)))</f>
        <v>0</v>
      </c>
      <c r="O17" s="8">
        <f>IF($B17="","",SUMIFS('Leave Records'!$I:$I,'Leave Records'!$B:$B,$B17,'Leave Records'!$K:$K,"Approved",'Leave Records'!$F:$F,"&gt;="&amp;DATE(Config!$I$7,12,1),'Leave Records'!$F:$F,"&lt;="&amp;EOMONTH(DATE(Config!$I$7,12,1),0)))</f>
        <v>0</v>
      </c>
      <c r="P17" s="11">
        <f t="shared" si="1"/>
        <v>3</v>
      </c>
    </row>
    <row r="18" ht="17" customHeight="1" spans="1:16">
      <c r="A18" s="5">
        <f t="shared" si="0"/>
        <v>14</v>
      </c>
      <c r="B18" s="12" t="str">
        <f>IF(Config!$B$20="","",Config!$B$20)</f>
        <v>Warda Siraj</v>
      </c>
      <c r="C18" s="13" t="str">
        <f>IF(Config!$B$20="","",Config!$C$20)</f>
        <v>Head Of BC</v>
      </c>
      <c r="D18" s="9">
        <f>IF($B18="","",SUMIFS('Leave Records'!$I:$I,'Leave Records'!$B:$B,$B18,'Leave Records'!$K:$K,"Approved",'Leave Records'!$F:$F,"&gt;="&amp;DATE(Config!$I$7,1,1),'Leave Records'!$F:$F,"&lt;="&amp;EOMONTH(DATE(Config!$I$7,1,1),0)))</f>
        <v>0</v>
      </c>
      <c r="E18" s="9">
        <f>IF($B18="","",SUMIFS('Leave Records'!$I:$I,'Leave Records'!$B:$B,$B18,'Leave Records'!$K:$K,"Approved",'Leave Records'!$F:$F,"&gt;="&amp;DATE(Config!$I$7,2,1),'Leave Records'!$F:$F,"&lt;="&amp;EOMONTH(DATE(Config!$I$7,2,1),0)))</f>
        <v>0</v>
      </c>
      <c r="F18" s="9">
        <f>IF($B18="","",SUMIFS('Leave Records'!$I:$I,'Leave Records'!$B:$B,$B18,'Leave Records'!$K:$K,"Approved",'Leave Records'!$F:$F,"&gt;="&amp;DATE(Config!$I$7,3,1),'Leave Records'!$F:$F,"&lt;="&amp;EOMONTH(DATE(Config!$I$7,3,1),0)))</f>
        <v>0</v>
      </c>
      <c r="G18" s="9">
        <f>IF($B18="","",SUMIFS('Leave Records'!$I:$I,'Leave Records'!$B:$B,$B18,'Leave Records'!$K:$K,"Approved",'Leave Records'!$F:$F,"&gt;="&amp;DATE(Config!$I$7,4,1),'Leave Records'!$F:$F,"&lt;="&amp;EOMONTH(DATE(Config!$I$7,4,1),0)))</f>
        <v>2</v>
      </c>
      <c r="H18" s="9">
        <f>IF($B18="","",SUMIFS('Leave Records'!$I:$I,'Leave Records'!$B:$B,$B18,'Leave Records'!$K:$K,"Approved",'Leave Records'!$F:$F,"&gt;="&amp;DATE(Config!$I$7,5,1),'Leave Records'!$F:$F,"&lt;="&amp;EOMONTH(DATE(Config!$I$7,5,1),0)))</f>
        <v>0</v>
      </c>
      <c r="I18" s="9">
        <f>IF($B18="","",SUMIFS('Leave Records'!$I:$I,'Leave Records'!$B:$B,$B18,'Leave Records'!$K:$K,"Approved",'Leave Records'!$F:$F,"&gt;="&amp;DATE(Config!$I$7,6,1),'Leave Records'!$F:$F,"&lt;="&amp;EOMONTH(DATE(Config!$I$7,6,1),0)))</f>
        <v>0</v>
      </c>
      <c r="J18" s="9">
        <f>IF($B18="","",SUMIFS('Leave Records'!$I:$I,'Leave Records'!$B:$B,$B18,'Leave Records'!$K:$K,"Approved",'Leave Records'!$F:$F,"&gt;="&amp;DATE(Config!$I$7,7,1),'Leave Records'!$F:$F,"&lt;="&amp;EOMONTH(DATE(Config!$I$7,7,1),0)))</f>
        <v>0</v>
      </c>
      <c r="K18" s="9">
        <f>IF($B18="","",SUMIFS('Leave Records'!$I:$I,'Leave Records'!$B:$B,$B18,'Leave Records'!$K:$K,"Approved",'Leave Records'!$F:$F,"&gt;="&amp;DATE(Config!$I$7,8,1),'Leave Records'!$F:$F,"&lt;="&amp;EOMONTH(DATE(Config!$I$7,8,1),0)))</f>
        <v>0</v>
      </c>
      <c r="L18" s="9">
        <f>IF($B18="","",SUMIFS('Leave Records'!$I:$I,'Leave Records'!$B:$B,$B18,'Leave Records'!$K:$K,"Approved",'Leave Records'!$F:$F,"&gt;="&amp;DATE(Config!$I$7,9,1),'Leave Records'!$F:$F,"&lt;="&amp;EOMONTH(DATE(Config!$I$7,9,1),0)))</f>
        <v>0</v>
      </c>
      <c r="M18" s="9">
        <f>IF($B18="","",SUMIFS('Leave Records'!$I:$I,'Leave Records'!$B:$B,$B18,'Leave Records'!$K:$K,"Approved",'Leave Records'!$F:$F,"&gt;="&amp;DATE(Config!$I$7,10,1),'Leave Records'!$F:$F,"&lt;="&amp;EOMONTH(DATE(Config!$I$7,10,1),0)))</f>
        <v>0</v>
      </c>
      <c r="N18" s="9">
        <f>IF($B18="","",SUMIFS('Leave Records'!$I:$I,'Leave Records'!$B:$B,$B18,'Leave Records'!$K:$K,"Approved",'Leave Records'!$F:$F,"&gt;="&amp;DATE(Config!$I$7,11,1),'Leave Records'!$F:$F,"&lt;="&amp;EOMONTH(DATE(Config!$I$7,11,1),0)))</f>
        <v>0</v>
      </c>
      <c r="O18" s="9">
        <f>IF($B18="","",SUMIFS('Leave Records'!$I:$I,'Leave Records'!$B:$B,$B18,'Leave Records'!$K:$K,"Approved",'Leave Records'!$F:$F,"&gt;="&amp;DATE(Config!$I$7,12,1),'Leave Records'!$F:$F,"&lt;="&amp;EOMONTH(DATE(Config!$I$7,12,1),0)))</f>
        <v>0</v>
      </c>
      <c r="P18" s="14">
        <f t="shared" si="1"/>
        <v>2</v>
      </c>
    </row>
    <row r="19" ht="17" customHeight="1" spans="1:16">
      <c r="A19" s="5">
        <f t="shared" si="0"/>
        <v>15</v>
      </c>
      <c r="B19" s="6" t="str">
        <f>IF(Config!$B$21="","",Config!$B$21)</f>
        <v>Irfan Hossain</v>
      </c>
      <c r="C19" s="7" t="str">
        <f>IF(Config!$B$21="","",Config!$C$21)</f>
        <v/>
      </c>
      <c r="D19" s="8">
        <f>IF($B19="","",SUMIFS('Leave Records'!$I:$I,'Leave Records'!$B:$B,$B19,'Leave Records'!$K:$K,"Approved",'Leave Records'!$F:$F,"&gt;="&amp;DATE(Config!$I$7,1,1),'Leave Records'!$F:$F,"&lt;="&amp;EOMONTH(DATE(Config!$I$7,1,1),0)))</f>
        <v>0</v>
      </c>
      <c r="E19" s="9">
        <f>IF($B19="","",SUMIFS('Leave Records'!$I:$I,'Leave Records'!$B:$B,$B19,'Leave Records'!$K:$K,"Approved",'Leave Records'!$F:$F,"&gt;="&amp;DATE(Config!$I$7,2,1),'Leave Records'!$F:$F,"&lt;="&amp;EOMONTH(DATE(Config!$I$7,2,1),0)))</f>
        <v>0</v>
      </c>
      <c r="F19" s="8">
        <f>IF($B19="","",SUMIFS('Leave Records'!$I:$I,'Leave Records'!$B:$B,$B19,'Leave Records'!$K:$K,"Approved",'Leave Records'!$F:$F,"&gt;="&amp;DATE(Config!$I$7,3,1),'Leave Records'!$F:$F,"&lt;="&amp;EOMONTH(DATE(Config!$I$7,3,1),0)))</f>
        <v>4</v>
      </c>
      <c r="G19" s="10">
        <f>IF($B19="","",SUMIFS('Leave Records'!$I:$I,'Leave Records'!$B:$B,$B19,'Leave Records'!$K:$K,"Approved",'Leave Records'!$F:$F,"&gt;="&amp;DATE(Config!$I$7,4,1),'Leave Records'!$F:$F,"&lt;="&amp;EOMONTH(DATE(Config!$I$7,4,1),0)))</f>
        <v>0</v>
      </c>
      <c r="H19" s="10">
        <f>IF($B19="","",SUMIFS('Leave Records'!$I:$I,'Leave Records'!$B:$B,$B19,'Leave Records'!$K:$K,"Approved",'Leave Records'!$F:$F,"&gt;="&amp;DATE(Config!$I$7,5,1),'Leave Records'!$F:$F,"&lt;="&amp;EOMONTH(DATE(Config!$I$7,5,1),0)))</f>
        <v>0</v>
      </c>
      <c r="I19" s="8">
        <f>IF($B19="","",SUMIFS('Leave Records'!$I:$I,'Leave Records'!$B:$B,$B19,'Leave Records'!$K:$K,"Approved",'Leave Records'!$F:$F,"&gt;="&amp;DATE(Config!$I$7,6,1),'Leave Records'!$F:$F,"&lt;="&amp;EOMONTH(DATE(Config!$I$7,6,1),0)))</f>
        <v>0</v>
      </c>
      <c r="J19" s="8">
        <f>IF($B19="","",SUMIFS('Leave Records'!$I:$I,'Leave Records'!$B:$B,$B19,'Leave Records'!$K:$K,"Approved",'Leave Records'!$F:$F,"&gt;="&amp;DATE(Config!$I$7,7,1),'Leave Records'!$F:$F,"&lt;="&amp;EOMONTH(DATE(Config!$I$7,7,1),0)))</f>
        <v>0</v>
      </c>
      <c r="K19" s="9">
        <f>IF($B19="","",SUMIFS('Leave Records'!$I:$I,'Leave Records'!$B:$B,$B19,'Leave Records'!$K:$K,"Approved",'Leave Records'!$F:$F,"&gt;="&amp;DATE(Config!$I$7,8,1),'Leave Records'!$F:$F,"&lt;="&amp;EOMONTH(DATE(Config!$I$7,8,1),0)))</f>
        <v>0</v>
      </c>
      <c r="L19" s="8">
        <f>IF($B19="","",SUMIFS('Leave Records'!$I:$I,'Leave Records'!$B:$B,$B19,'Leave Records'!$K:$K,"Approved",'Leave Records'!$F:$F,"&gt;="&amp;DATE(Config!$I$7,9,1),'Leave Records'!$F:$F,"&lt;="&amp;EOMONTH(DATE(Config!$I$7,9,1),0)))</f>
        <v>0</v>
      </c>
      <c r="M19" s="10">
        <f>IF($B19="","",SUMIFS('Leave Records'!$I:$I,'Leave Records'!$B:$B,$B19,'Leave Records'!$K:$K,"Approved",'Leave Records'!$F:$F,"&gt;="&amp;DATE(Config!$I$7,10,1),'Leave Records'!$F:$F,"&lt;="&amp;EOMONTH(DATE(Config!$I$7,10,1),0)))</f>
        <v>0</v>
      </c>
      <c r="N19" s="10">
        <f>IF($B19="","",SUMIFS('Leave Records'!$I:$I,'Leave Records'!$B:$B,$B19,'Leave Records'!$K:$K,"Approved",'Leave Records'!$F:$F,"&gt;="&amp;DATE(Config!$I$7,11,1),'Leave Records'!$F:$F,"&lt;="&amp;EOMONTH(DATE(Config!$I$7,11,1),0)))</f>
        <v>0</v>
      </c>
      <c r="O19" s="8">
        <f>IF($B19="","",SUMIFS('Leave Records'!$I:$I,'Leave Records'!$B:$B,$B19,'Leave Records'!$K:$K,"Approved",'Leave Records'!$F:$F,"&gt;="&amp;DATE(Config!$I$7,12,1),'Leave Records'!$F:$F,"&lt;="&amp;EOMONTH(DATE(Config!$I$7,12,1),0)))</f>
        <v>0</v>
      </c>
      <c r="P19" s="11">
        <f t="shared" si="1"/>
        <v>4</v>
      </c>
    </row>
    <row r="20" ht="17" customHeight="1" spans="1:16">
      <c r="A20" s="5">
        <f t="shared" si="0"/>
        <v>16</v>
      </c>
      <c r="B20" s="12" t="str">
        <f>IF(Config!$B$22="","",Config!$B$22)</f>
        <v>Mohoshina Shifa Buble</v>
      </c>
      <c r="C20" s="13" t="str">
        <f>IF(Config!$B$22="","",Config!$C$22)</f>
        <v>Teacher's Assistant</v>
      </c>
      <c r="D20" s="9">
        <f>IF($B20="","",SUMIFS('Leave Records'!$I:$I,'Leave Records'!$B:$B,$B20,'Leave Records'!$K:$K,"Approved",'Leave Records'!$F:$F,"&gt;="&amp;DATE(Config!$I$7,1,1),'Leave Records'!$F:$F,"&lt;="&amp;EOMONTH(DATE(Config!$I$7,1,1),0)))</f>
        <v>0</v>
      </c>
      <c r="E20" s="9">
        <f>IF($B20="","",SUMIFS('Leave Records'!$I:$I,'Leave Records'!$B:$B,$B20,'Leave Records'!$K:$K,"Approved",'Leave Records'!$F:$F,"&gt;="&amp;DATE(Config!$I$7,2,1),'Leave Records'!$F:$F,"&lt;="&amp;EOMONTH(DATE(Config!$I$7,2,1),0)))</f>
        <v>0</v>
      </c>
      <c r="F20" s="9">
        <f>IF($B20="","",SUMIFS('Leave Records'!$I:$I,'Leave Records'!$B:$B,$B20,'Leave Records'!$K:$K,"Approved",'Leave Records'!$F:$F,"&gt;="&amp;DATE(Config!$I$7,3,1),'Leave Records'!$F:$F,"&lt;="&amp;EOMONTH(DATE(Config!$I$7,3,1),0)))</f>
        <v>3</v>
      </c>
      <c r="G20" s="9">
        <f>IF($B20="","",SUMIFS('Leave Records'!$I:$I,'Leave Records'!$B:$B,$B20,'Leave Records'!$K:$K,"Approved",'Leave Records'!$F:$F,"&gt;="&amp;DATE(Config!$I$7,4,1),'Leave Records'!$F:$F,"&lt;="&amp;EOMONTH(DATE(Config!$I$7,4,1),0)))</f>
        <v>0</v>
      </c>
      <c r="H20" s="9">
        <f>IF($B20="","",SUMIFS('Leave Records'!$I:$I,'Leave Records'!$B:$B,$B20,'Leave Records'!$K:$K,"Approved",'Leave Records'!$F:$F,"&gt;="&amp;DATE(Config!$I$7,5,1),'Leave Records'!$F:$F,"&lt;="&amp;EOMONTH(DATE(Config!$I$7,5,1),0)))</f>
        <v>3</v>
      </c>
      <c r="I20" s="9">
        <f>IF($B20="","",SUMIFS('Leave Records'!$I:$I,'Leave Records'!$B:$B,$B20,'Leave Records'!$K:$K,"Approved",'Leave Records'!$F:$F,"&gt;="&amp;DATE(Config!$I$7,6,1),'Leave Records'!$F:$F,"&lt;="&amp;EOMONTH(DATE(Config!$I$7,6,1),0)))</f>
        <v>0</v>
      </c>
      <c r="J20" s="9">
        <f>IF($B20="","",SUMIFS('Leave Records'!$I:$I,'Leave Records'!$B:$B,$B20,'Leave Records'!$K:$K,"Approved",'Leave Records'!$F:$F,"&gt;="&amp;DATE(Config!$I$7,7,1),'Leave Records'!$F:$F,"&lt;="&amp;EOMONTH(DATE(Config!$I$7,7,1),0)))</f>
        <v>0</v>
      </c>
      <c r="K20" s="9">
        <f>IF($B20="","",SUMIFS('Leave Records'!$I:$I,'Leave Records'!$B:$B,$B20,'Leave Records'!$K:$K,"Approved",'Leave Records'!$F:$F,"&gt;="&amp;DATE(Config!$I$7,8,1),'Leave Records'!$F:$F,"&lt;="&amp;EOMONTH(DATE(Config!$I$7,8,1),0)))</f>
        <v>0</v>
      </c>
      <c r="L20" s="9">
        <f>IF($B20="","",SUMIFS('Leave Records'!$I:$I,'Leave Records'!$B:$B,$B20,'Leave Records'!$K:$K,"Approved",'Leave Records'!$F:$F,"&gt;="&amp;DATE(Config!$I$7,9,1),'Leave Records'!$F:$F,"&lt;="&amp;EOMONTH(DATE(Config!$I$7,9,1),0)))</f>
        <v>0</v>
      </c>
      <c r="M20" s="9">
        <f>IF($B20="","",SUMIFS('Leave Records'!$I:$I,'Leave Records'!$B:$B,$B20,'Leave Records'!$K:$K,"Approved",'Leave Records'!$F:$F,"&gt;="&amp;DATE(Config!$I$7,10,1),'Leave Records'!$F:$F,"&lt;="&amp;EOMONTH(DATE(Config!$I$7,10,1),0)))</f>
        <v>0</v>
      </c>
      <c r="N20" s="9">
        <f>IF($B20="","",SUMIFS('Leave Records'!$I:$I,'Leave Records'!$B:$B,$B20,'Leave Records'!$K:$K,"Approved",'Leave Records'!$F:$F,"&gt;="&amp;DATE(Config!$I$7,11,1),'Leave Records'!$F:$F,"&lt;="&amp;EOMONTH(DATE(Config!$I$7,11,1),0)))</f>
        <v>0</v>
      </c>
      <c r="O20" s="9">
        <f>IF($B20="","",SUMIFS('Leave Records'!$I:$I,'Leave Records'!$B:$B,$B20,'Leave Records'!$K:$K,"Approved",'Leave Records'!$F:$F,"&gt;="&amp;DATE(Config!$I$7,12,1),'Leave Records'!$F:$F,"&lt;="&amp;EOMONTH(DATE(Config!$I$7,12,1),0)))</f>
        <v>0</v>
      </c>
      <c r="P20" s="14">
        <f t="shared" si="1"/>
        <v>6</v>
      </c>
    </row>
    <row r="21" ht="17" customHeight="1" spans="1:16">
      <c r="A21" s="5">
        <f t="shared" si="0"/>
        <v>17</v>
      </c>
      <c r="B21" s="6" t="str">
        <f>IF(Config!$B$23="","",Config!$B$23)</f>
        <v>Sadia Akter Lubna</v>
      </c>
      <c r="C21" s="7" t="str">
        <f>IF(Config!$B$23="","",Config!$C$23)</f>
        <v>Teacher's Assistant</v>
      </c>
      <c r="D21" s="8">
        <f>IF($B21="","",SUMIFS('Leave Records'!$I:$I,'Leave Records'!$B:$B,$B21,'Leave Records'!$K:$K,"Approved",'Leave Records'!$F:$F,"&gt;="&amp;DATE(Config!$I$7,1,1),'Leave Records'!$F:$F,"&lt;="&amp;EOMONTH(DATE(Config!$I$7,1,1),0)))</f>
        <v>0</v>
      </c>
      <c r="E21" s="9">
        <f>IF($B21="","",SUMIFS('Leave Records'!$I:$I,'Leave Records'!$B:$B,$B21,'Leave Records'!$K:$K,"Approved",'Leave Records'!$F:$F,"&gt;="&amp;DATE(Config!$I$7,2,1),'Leave Records'!$F:$F,"&lt;="&amp;EOMONTH(DATE(Config!$I$7,2,1),0)))</f>
        <v>0</v>
      </c>
      <c r="F21" s="8">
        <f>IF($B21="","",SUMIFS('Leave Records'!$I:$I,'Leave Records'!$B:$B,$B21,'Leave Records'!$K:$K,"Approved",'Leave Records'!$F:$F,"&gt;="&amp;DATE(Config!$I$7,3,1),'Leave Records'!$F:$F,"&lt;="&amp;EOMONTH(DATE(Config!$I$7,3,1),0)))</f>
        <v>0</v>
      </c>
      <c r="G21" s="10">
        <f>IF($B21="","",SUMIFS('Leave Records'!$I:$I,'Leave Records'!$B:$B,$B21,'Leave Records'!$K:$K,"Approved",'Leave Records'!$F:$F,"&gt;="&amp;DATE(Config!$I$7,4,1),'Leave Records'!$F:$F,"&lt;="&amp;EOMONTH(DATE(Config!$I$7,4,1),0)))</f>
        <v>1</v>
      </c>
      <c r="H21" s="10">
        <f>IF($B21="","",SUMIFS('Leave Records'!$I:$I,'Leave Records'!$B:$B,$B21,'Leave Records'!$K:$K,"Approved",'Leave Records'!$F:$F,"&gt;="&amp;DATE(Config!$I$7,5,1),'Leave Records'!$F:$F,"&lt;="&amp;EOMONTH(DATE(Config!$I$7,5,1),0)))</f>
        <v>3</v>
      </c>
      <c r="I21" s="8">
        <f>IF($B21="","",SUMIFS('Leave Records'!$I:$I,'Leave Records'!$B:$B,$B21,'Leave Records'!$K:$K,"Approved",'Leave Records'!$F:$F,"&gt;="&amp;DATE(Config!$I$7,6,1),'Leave Records'!$F:$F,"&lt;="&amp;EOMONTH(DATE(Config!$I$7,6,1),0)))</f>
        <v>0</v>
      </c>
      <c r="J21" s="8">
        <f>IF($B21="","",SUMIFS('Leave Records'!$I:$I,'Leave Records'!$B:$B,$B21,'Leave Records'!$K:$K,"Approved",'Leave Records'!$F:$F,"&gt;="&amp;DATE(Config!$I$7,7,1),'Leave Records'!$F:$F,"&lt;="&amp;EOMONTH(DATE(Config!$I$7,7,1),0)))</f>
        <v>0</v>
      </c>
      <c r="K21" s="9">
        <f>IF($B21="","",SUMIFS('Leave Records'!$I:$I,'Leave Records'!$B:$B,$B21,'Leave Records'!$K:$K,"Approved",'Leave Records'!$F:$F,"&gt;="&amp;DATE(Config!$I$7,8,1),'Leave Records'!$F:$F,"&lt;="&amp;EOMONTH(DATE(Config!$I$7,8,1),0)))</f>
        <v>0</v>
      </c>
      <c r="L21" s="8">
        <f>IF($B21="","",SUMIFS('Leave Records'!$I:$I,'Leave Records'!$B:$B,$B21,'Leave Records'!$K:$K,"Approved",'Leave Records'!$F:$F,"&gt;="&amp;DATE(Config!$I$7,9,1),'Leave Records'!$F:$F,"&lt;="&amp;EOMONTH(DATE(Config!$I$7,9,1),0)))</f>
        <v>0</v>
      </c>
      <c r="M21" s="10">
        <f>IF($B21="","",SUMIFS('Leave Records'!$I:$I,'Leave Records'!$B:$B,$B21,'Leave Records'!$K:$K,"Approved",'Leave Records'!$F:$F,"&gt;="&amp;DATE(Config!$I$7,10,1),'Leave Records'!$F:$F,"&lt;="&amp;EOMONTH(DATE(Config!$I$7,10,1),0)))</f>
        <v>0</v>
      </c>
      <c r="N21" s="10">
        <f>IF($B21="","",SUMIFS('Leave Records'!$I:$I,'Leave Records'!$B:$B,$B21,'Leave Records'!$K:$K,"Approved",'Leave Records'!$F:$F,"&gt;="&amp;DATE(Config!$I$7,11,1),'Leave Records'!$F:$F,"&lt;="&amp;EOMONTH(DATE(Config!$I$7,11,1),0)))</f>
        <v>0</v>
      </c>
      <c r="O21" s="8">
        <f>IF($B21="","",SUMIFS('Leave Records'!$I:$I,'Leave Records'!$B:$B,$B21,'Leave Records'!$K:$K,"Approved",'Leave Records'!$F:$F,"&gt;="&amp;DATE(Config!$I$7,12,1),'Leave Records'!$F:$F,"&lt;="&amp;EOMONTH(DATE(Config!$I$7,12,1),0)))</f>
        <v>0</v>
      </c>
      <c r="P21" s="11">
        <f t="shared" si="1"/>
        <v>4</v>
      </c>
    </row>
    <row r="22" ht="17" customHeight="1" spans="1:16">
      <c r="A22" s="5">
        <f t="shared" si="0"/>
        <v>18</v>
      </c>
      <c r="B22" s="12" t="str">
        <f>IF(Config!$B$24="","",Config!$B$24)</f>
        <v>Taslima Akter</v>
      </c>
      <c r="C22" s="13" t="str">
        <f>IF(Config!$B$24="","",Config!$C$24)</f>
        <v>Subject Teacher (IC)</v>
      </c>
      <c r="D22" s="9">
        <f>IF($B22="","",SUMIFS('Leave Records'!$I:$I,'Leave Records'!$B:$B,$B22,'Leave Records'!$K:$K,"Approved",'Leave Records'!$F:$F,"&gt;="&amp;DATE(Config!$I$7,1,1),'Leave Records'!$F:$F,"&lt;="&amp;EOMONTH(DATE(Config!$I$7,1,1),0)))</f>
        <v>0</v>
      </c>
      <c r="E22" s="9">
        <f>IF($B22="","",SUMIFS('Leave Records'!$I:$I,'Leave Records'!$B:$B,$B22,'Leave Records'!$K:$K,"Approved",'Leave Records'!$F:$F,"&gt;="&amp;DATE(Config!$I$7,2,1),'Leave Records'!$F:$F,"&lt;="&amp;EOMONTH(DATE(Config!$I$7,2,1),0)))</f>
        <v>0</v>
      </c>
      <c r="F22" s="9">
        <f>IF($B22="","",SUMIFS('Leave Records'!$I:$I,'Leave Records'!$B:$B,$B22,'Leave Records'!$K:$K,"Approved",'Leave Records'!$F:$F,"&gt;="&amp;DATE(Config!$I$7,3,1),'Leave Records'!$F:$F,"&lt;="&amp;EOMONTH(DATE(Config!$I$7,3,1),0)))</f>
        <v>2</v>
      </c>
      <c r="G22" s="9">
        <f>IF($B22="","",SUMIFS('Leave Records'!$I:$I,'Leave Records'!$B:$B,$B22,'Leave Records'!$K:$K,"Approved",'Leave Records'!$F:$F,"&gt;="&amp;DATE(Config!$I$7,4,1),'Leave Records'!$F:$F,"&lt;="&amp;EOMONTH(DATE(Config!$I$7,4,1),0)))</f>
        <v>5</v>
      </c>
      <c r="H22" s="9">
        <f>IF($B22="","",SUMIFS('Leave Records'!$I:$I,'Leave Records'!$B:$B,$B22,'Leave Records'!$K:$K,"Approved",'Leave Records'!$F:$F,"&gt;="&amp;DATE(Config!$I$7,5,1),'Leave Records'!$F:$F,"&lt;="&amp;EOMONTH(DATE(Config!$I$7,5,1),0)))</f>
        <v>0</v>
      </c>
      <c r="I22" s="9">
        <f>IF($B22="","",SUMIFS('Leave Records'!$I:$I,'Leave Records'!$B:$B,$B22,'Leave Records'!$K:$K,"Approved",'Leave Records'!$F:$F,"&gt;="&amp;DATE(Config!$I$7,6,1),'Leave Records'!$F:$F,"&lt;="&amp;EOMONTH(DATE(Config!$I$7,6,1),0)))</f>
        <v>0</v>
      </c>
      <c r="J22" s="9">
        <f>IF($B22="","",SUMIFS('Leave Records'!$I:$I,'Leave Records'!$B:$B,$B22,'Leave Records'!$K:$K,"Approved",'Leave Records'!$F:$F,"&gt;="&amp;DATE(Config!$I$7,7,1),'Leave Records'!$F:$F,"&lt;="&amp;EOMONTH(DATE(Config!$I$7,7,1),0)))</f>
        <v>0</v>
      </c>
      <c r="K22" s="9">
        <f>IF($B22="","",SUMIFS('Leave Records'!$I:$I,'Leave Records'!$B:$B,$B22,'Leave Records'!$K:$K,"Approved",'Leave Records'!$F:$F,"&gt;="&amp;DATE(Config!$I$7,8,1),'Leave Records'!$F:$F,"&lt;="&amp;EOMONTH(DATE(Config!$I$7,8,1),0)))</f>
        <v>0</v>
      </c>
      <c r="L22" s="9">
        <f>IF($B22="","",SUMIFS('Leave Records'!$I:$I,'Leave Records'!$B:$B,$B22,'Leave Records'!$K:$K,"Approved",'Leave Records'!$F:$F,"&gt;="&amp;DATE(Config!$I$7,9,1),'Leave Records'!$F:$F,"&lt;="&amp;EOMONTH(DATE(Config!$I$7,9,1),0)))</f>
        <v>0</v>
      </c>
      <c r="M22" s="9">
        <f>IF($B22="","",SUMIFS('Leave Records'!$I:$I,'Leave Records'!$B:$B,$B22,'Leave Records'!$K:$K,"Approved",'Leave Records'!$F:$F,"&gt;="&amp;DATE(Config!$I$7,10,1),'Leave Records'!$F:$F,"&lt;="&amp;EOMONTH(DATE(Config!$I$7,10,1),0)))</f>
        <v>0</v>
      </c>
      <c r="N22" s="9">
        <f>IF($B22="","",SUMIFS('Leave Records'!$I:$I,'Leave Records'!$B:$B,$B22,'Leave Records'!$K:$K,"Approved",'Leave Records'!$F:$F,"&gt;="&amp;DATE(Config!$I$7,11,1),'Leave Records'!$F:$F,"&lt;="&amp;EOMONTH(DATE(Config!$I$7,11,1),0)))</f>
        <v>0</v>
      </c>
      <c r="O22" s="9">
        <f>IF($B22="","",SUMIFS('Leave Records'!$I:$I,'Leave Records'!$B:$B,$B22,'Leave Records'!$K:$K,"Approved",'Leave Records'!$F:$F,"&gt;="&amp;DATE(Config!$I$7,12,1),'Leave Records'!$F:$F,"&lt;="&amp;EOMONTH(DATE(Config!$I$7,12,1),0)))</f>
        <v>0</v>
      </c>
      <c r="P22" s="14">
        <f t="shared" si="1"/>
        <v>7</v>
      </c>
    </row>
    <row r="23" ht="17" customHeight="1" spans="1:16">
      <c r="A23" s="5">
        <f t="shared" si="0"/>
        <v>19</v>
      </c>
      <c r="B23" s="6" t="str">
        <f>IF(Config!$B$25="","",Config!$B$25)</f>
        <v>Samiya Hashem</v>
      </c>
      <c r="C23" s="7" t="str">
        <f>IF(Config!$B$25="","",Config!$C$25)</f>
        <v>Teacher's Assistant</v>
      </c>
      <c r="D23" s="8">
        <f>IF($B23="","",SUMIFS('Leave Records'!$I:$I,'Leave Records'!$B:$B,$B23,'Leave Records'!$K:$K,"Approved",'Leave Records'!$F:$F,"&gt;="&amp;DATE(Config!$I$7,1,1),'Leave Records'!$F:$F,"&lt;="&amp;EOMONTH(DATE(Config!$I$7,1,1),0)))</f>
        <v>0</v>
      </c>
      <c r="E23" s="9">
        <f>IF($B23="","",SUMIFS('Leave Records'!$I:$I,'Leave Records'!$B:$B,$B23,'Leave Records'!$K:$K,"Approved",'Leave Records'!$F:$F,"&gt;="&amp;DATE(Config!$I$7,2,1),'Leave Records'!$F:$F,"&lt;="&amp;EOMONTH(DATE(Config!$I$7,2,1),0)))</f>
        <v>0</v>
      </c>
      <c r="F23" s="8">
        <f>IF($B23="","",SUMIFS('Leave Records'!$I:$I,'Leave Records'!$B:$B,$B23,'Leave Records'!$K:$K,"Approved",'Leave Records'!$F:$F,"&gt;="&amp;DATE(Config!$I$7,3,1),'Leave Records'!$F:$F,"&lt;="&amp;EOMONTH(DATE(Config!$I$7,3,1),0)))</f>
        <v>0</v>
      </c>
      <c r="G23" s="10">
        <f>IF($B23="","",SUMIFS('Leave Records'!$I:$I,'Leave Records'!$B:$B,$B23,'Leave Records'!$K:$K,"Approved",'Leave Records'!$F:$F,"&gt;="&amp;DATE(Config!$I$7,4,1),'Leave Records'!$F:$F,"&lt;="&amp;EOMONTH(DATE(Config!$I$7,4,1),0)))</f>
        <v>0</v>
      </c>
      <c r="H23" s="10">
        <f>IF($B23="","",SUMIFS('Leave Records'!$I:$I,'Leave Records'!$B:$B,$B23,'Leave Records'!$K:$K,"Approved",'Leave Records'!$F:$F,"&gt;="&amp;DATE(Config!$I$7,5,1),'Leave Records'!$F:$F,"&lt;="&amp;EOMONTH(DATE(Config!$I$7,5,1),0)))</f>
        <v>1</v>
      </c>
      <c r="I23" s="8">
        <f>IF($B23="","",SUMIFS('Leave Records'!$I:$I,'Leave Records'!$B:$B,$B23,'Leave Records'!$K:$K,"Approved",'Leave Records'!$F:$F,"&gt;="&amp;DATE(Config!$I$7,6,1),'Leave Records'!$F:$F,"&lt;="&amp;EOMONTH(DATE(Config!$I$7,6,1),0)))</f>
        <v>0</v>
      </c>
      <c r="J23" s="8">
        <f>IF($B23="","",SUMIFS('Leave Records'!$I:$I,'Leave Records'!$B:$B,$B23,'Leave Records'!$K:$K,"Approved",'Leave Records'!$F:$F,"&gt;="&amp;DATE(Config!$I$7,7,1),'Leave Records'!$F:$F,"&lt;="&amp;EOMONTH(DATE(Config!$I$7,7,1),0)))</f>
        <v>0</v>
      </c>
      <c r="K23" s="9">
        <f>IF($B23="","",SUMIFS('Leave Records'!$I:$I,'Leave Records'!$B:$B,$B23,'Leave Records'!$K:$K,"Approved",'Leave Records'!$F:$F,"&gt;="&amp;DATE(Config!$I$7,8,1),'Leave Records'!$F:$F,"&lt;="&amp;EOMONTH(DATE(Config!$I$7,8,1),0)))</f>
        <v>0</v>
      </c>
      <c r="L23" s="8">
        <f>IF($B23="","",SUMIFS('Leave Records'!$I:$I,'Leave Records'!$B:$B,$B23,'Leave Records'!$K:$K,"Approved",'Leave Records'!$F:$F,"&gt;="&amp;DATE(Config!$I$7,9,1),'Leave Records'!$F:$F,"&lt;="&amp;EOMONTH(DATE(Config!$I$7,9,1),0)))</f>
        <v>0</v>
      </c>
      <c r="M23" s="10">
        <f>IF($B23="","",SUMIFS('Leave Records'!$I:$I,'Leave Records'!$B:$B,$B23,'Leave Records'!$K:$K,"Approved",'Leave Records'!$F:$F,"&gt;="&amp;DATE(Config!$I$7,10,1),'Leave Records'!$F:$F,"&lt;="&amp;EOMONTH(DATE(Config!$I$7,10,1),0)))</f>
        <v>0</v>
      </c>
      <c r="N23" s="10">
        <f>IF($B23="","",SUMIFS('Leave Records'!$I:$I,'Leave Records'!$B:$B,$B23,'Leave Records'!$K:$K,"Approved",'Leave Records'!$F:$F,"&gt;="&amp;DATE(Config!$I$7,11,1),'Leave Records'!$F:$F,"&lt;="&amp;EOMONTH(DATE(Config!$I$7,11,1),0)))</f>
        <v>0</v>
      </c>
      <c r="O23" s="8">
        <f>IF($B23="","",SUMIFS('Leave Records'!$I:$I,'Leave Records'!$B:$B,$B23,'Leave Records'!$K:$K,"Approved",'Leave Records'!$F:$F,"&gt;="&amp;DATE(Config!$I$7,12,1),'Leave Records'!$F:$F,"&lt;="&amp;EOMONTH(DATE(Config!$I$7,12,1),0)))</f>
        <v>0</v>
      </c>
      <c r="P23" s="11">
        <f t="shared" si="1"/>
        <v>1</v>
      </c>
    </row>
    <row r="24" ht="17" customHeight="1" spans="1:16">
      <c r="A24" s="5">
        <f t="shared" si="0"/>
        <v>20</v>
      </c>
      <c r="B24" s="12" t="str">
        <f>IF(Config!$B$26="","",Config!$B$26)</f>
        <v>Humaira Tasnim</v>
      </c>
      <c r="C24" s="13" t="str">
        <f>IF(Config!$B$26="","",Config!$C$26)</f>
        <v/>
      </c>
      <c r="D24" s="9">
        <f>IF($B24="","",SUMIFS('Leave Records'!$I:$I,'Leave Records'!$B:$B,$B24,'Leave Records'!$K:$K,"Approved",'Leave Records'!$F:$F,"&gt;="&amp;DATE(Config!$I$7,1,1),'Leave Records'!$F:$F,"&lt;="&amp;EOMONTH(DATE(Config!$I$7,1,1),0)))</f>
        <v>0</v>
      </c>
      <c r="E24" s="9">
        <f>IF($B24="","",SUMIFS('Leave Records'!$I:$I,'Leave Records'!$B:$B,$B24,'Leave Records'!$K:$K,"Approved",'Leave Records'!$F:$F,"&gt;="&amp;DATE(Config!$I$7,2,1),'Leave Records'!$F:$F,"&lt;="&amp;EOMONTH(DATE(Config!$I$7,2,1),0)))</f>
        <v>0</v>
      </c>
      <c r="F24" s="9">
        <f>IF($B24="","",SUMIFS('Leave Records'!$I:$I,'Leave Records'!$B:$B,$B24,'Leave Records'!$K:$K,"Approved",'Leave Records'!$F:$F,"&gt;="&amp;DATE(Config!$I$7,3,1),'Leave Records'!$F:$F,"&lt;="&amp;EOMONTH(DATE(Config!$I$7,3,1),0)))</f>
        <v>7</v>
      </c>
      <c r="G24" s="9">
        <f>IF($B24="","",SUMIFS('Leave Records'!$I:$I,'Leave Records'!$B:$B,$B24,'Leave Records'!$K:$K,"Approved",'Leave Records'!$F:$F,"&gt;="&amp;DATE(Config!$I$7,4,1),'Leave Records'!$F:$F,"&lt;="&amp;EOMONTH(DATE(Config!$I$7,4,1),0)))</f>
        <v>0</v>
      </c>
      <c r="H24" s="9">
        <f>IF($B24="","",SUMIFS('Leave Records'!$I:$I,'Leave Records'!$B:$B,$B24,'Leave Records'!$K:$K,"Approved",'Leave Records'!$F:$F,"&gt;="&amp;DATE(Config!$I$7,5,1),'Leave Records'!$F:$F,"&lt;="&amp;EOMONTH(DATE(Config!$I$7,5,1),0)))</f>
        <v>0</v>
      </c>
      <c r="I24" s="9">
        <f>IF($B24="","",SUMIFS('Leave Records'!$I:$I,'Leave Records'!$B:$B,$B24,'Leave Records'!$K:$K,"Approved",'Leave Records'!$F:$F,"&gt;="&amp;DATE(Config!$I$7,6,1),'Leave Records'!$F:$F,"&lt;="&amp;EOMONTH(DATE(Config!$I$7,6,1),0)))</f>
        <v>0</v>
      </c>
      <c r="J24" s="9">
        <f>IF($B24="","",SUMIFS('Leave Records'!$I:$I,'Leave Records'!$B:$B,$B24,'Leave Records'!$K:$K,"Approved",'Leave Records'!$F:$F,"&gt;="&amp;DATE(Config!$I$7,7,1),'Leave Records'!$F:$F,"&lt;="&amp;EOMONTH(DATE(Config!$I$7,7,1),0)))</f>
        <v>0</v>
      </c>
      <c r="K24" s="9">
        <f>IF($B24="","",SUMIFS('Leave Records'!$I:$I,'Leave Records'!$B:$B,$B24,'Leave Records'!$K:$K,"Approved",'Leave Records'!$F:$F,"&gt;="&amp;DATE(Config!$I$7,8,1),'Leave Records'!$F:$F,"&lt;="&amp;EOMONTH(DATE(Config!$I$7,8,1),0)))</f>
        <v>0</v>
      </c>
      <c r="L24" s="9">
        <f>IF($B24="","",SUMIFS('Leave Records'!$I:$I,'Leave Records'!$B:$B,$B24,'Leave Records'!$K:$K,"Approved",'Leave Records'!$F:$F,"&gt;="&amp;DATE(Config!$I$7,9,1),'Leave Records'!$F:$F,"&lt;="&amp;EOMONTH(DATE(Config!$I$7,9,1),0)))</f>
        <v>0</v>
      </c>
      <c r="M24" s="9">
        <f>IF($B24="","",SUMIFS('Leave Records'!$I:$I,'Leave Records'!$B:$B,$B24,'Leave Records'!$K:$K,"Approved",'Leave Records'!$F:$F,"&gt;="&amp;DATE(Config!$I$7,10,1),'Leave Records'!$F:$F,"&lt;="&amp;EOMONTH(DATE(Config!$I$7,10,1),0)))</f>
        <v>0</v>
      </c>
      <c r="N24" s="9">
        <f>IF($B24="","",SUMIFS('Leave Records'!$I:$I,'Leave Records'!$B:$B,$B24,'Leave Records'!$K:$K,"Approved",'Leave Records'!$F:$F,"&gt;="&amp;DATE(Config!$I$7,11,1),'Leave Records'!$F:$F,"&lt;="&amp;EOMONTH(DATE(Config!$I$7,11,1),0)))</f>
        <v>0</v>
      </c>
      <c r="O24" s="9">
        <f>IF($B24="","",SUMIFS('Leave Records'!$I:$I,'Leave Records'!$B:$B,$B24,'Leave Records'!$K:$K,"Approved",'Leave Records'!$F:$F,"&gt;="&amp;DATE(Config!$I$7,12,1),'Leave Records'!$F:$F,"&lt;="&amp;EOMONTH(DATE(Config!$I$7,12,1),0)))</f>
        <v>0</v>
      </c>
      <c r="P24" s="14">
        <f t="shared" si="1"/>
        <v>7</v>
      </c>
    </row>
    <row r="25" ht="17" customHeight="1" spans="1:16">
      <c r="A25" s="5">
        <f t="shared" si="0"/>
        <v>21</v>
      </c>
      <c r="B25" s="6" t="str">
        <f>IF(Config!$B$27="","",Config!$B$27)</f>
        <v>Aziza Sultana</v>
      </c>
      <c r="C25" s="7" t="str">
        <f>IF(Config!$B$27="","",Config!$C$27)</f>
        <v>Teacher's Assistant</v>
      </c>
      <c r="D25" s="8">
        <f>IF($B25="","",SUMIFS('Leave Records'!$I:$I,'Leave Records'!$B:$B,$B25,'Leave Records'!$K:$K,"Approved",'Leave Records'!$F:$F,"&gt;="&amp;DATE(Config!$I$7,1,1),'Leave Records'!$F:$F,"&lt;="&amp;EOMONTH(DATE(Config!$I$7,1,1),0)))</f>
        <v>0</v>
      </c>
      <c r="E25" s="9">
        <f>IF($B25="","",SUMIFS('Leave Records'!$I:$I,'Leave Records'!$B:$B,$B25,'Leave Records'!$K:$K,"Approved",'Leave Records'!$F:$F,"&gt;="&amp;DATE(Config!$I$7,2,1),'Leave Records'!$F:$F,"&lt;="&amp;EOMONTH(DATE(Config!$I$7,2,1),0)))</f>
        <v>0</v>
      </c>
      <c r="F25" s="8">
        <f>IF($B25="","",SUMIFS('Leave Records'!$I:$I,'Leave Records'!$B:$B,$B25,'Leave Records'!$K:$K,"Approved",'Leave Records'!$F:$F,"&gt;="&amp;DATE(Config!$I$7,3,1),'Leave Records'!$F:$F,"&lt;="&amp;EOMONTH(DATE(Config!$I$7,3,1),0)))</f>
        <v>2</v>
      </c>
      <c r="G25" s="10">
        <f>IF($B25="","",SUMIFS('Leave Records'!$I:$I,'Leave Records'!$B:$B,$B25,'Leave Records'!$K:$K,"Approved",'Leave Records'!$F:$F,"&gt;="&amp;DATE(Config!$I$7,4,1),'Leave Records'!$F:$F,"&lt;="&amp;EOMONTH(DATE(Config!$I$7,4,1),0)))</f>
        <v>0</v>
      </c>
      <c r="H25" s="10">
        <f>IF($B25="","",SUMIFS('Leave Records'!$I:$I,'Leave Records'!$B:$B,$B25,'Leave Records'!$K:$K,"Approved",'Leave Records'!$F:$F,"&gt;="&amp;DATE(Config!$I$7,5,1),'Leave Records'!$F:$F,"&lt;="&amp;EOMONTH(DATE(Config!$I$7,5,1),0)))</f>
        <v>1</v>
      </c>
      <c r="I25" s="8">
        <f>IF($B25="","",SUMIFS('Leave Records'!$I:$I,'Leave Records'!$B:$B,$B25,'Leave Records'!$K:$K,"Approved",'Leave Records'!$F:$F,"&gt;="&amp;DATE(Config!$I$7,6,1),'Leave Records'!$F:$F,"&lt;="&amp;EOMONTH(DATE(Config!$I$7,6,1),0)))</f>
        <v>0</v>
      </c>
      <c r="J25" s="8">
        <f>IF($B25="","",SUMIFS('Leave Records'!$I:$I,'Leave Records'!$B:$B,$B25,'Leave Records'!$K:$K,"Approved",'Leave Records'!$F:$F,"&gt;="&amp;DATE(Config!$I$7,7,1),'Leave Records'!$F:$F,"&lt;="&amp;EOMONTH(DATE(Config!$I$7,7,1),0)))</f>
        <v>0</v>
      </c>
      <c r="K25" s="9">
        <f>IF($B25="","",SUMIFS('Leave Records'!$I:$I,'Leave Records'!$B:$B,$B25,'Leave Records'!$K:$K,"Approved",'Leave Records'!$F:$F,"&gt;="&amp;DATE(Config!$I$7,8,1),'Leave Records'!$F:$F,"&lt;="&amp;EOMONTH(DATE(Config!$I$7,8,1),0)))</f>
        <v>0</v>
      </c>
      <c r="L25" s="8">
        <f>IF($B25="","",SUMIFS('Leave Records'!$I:$I,'Leave Records'!$B:$B,$B25,'Leave Records'!$K:$K,"Approved",'Leave Records'!$F:$F,"&gt;="&amp;DATE(Config!$I$7,9,1),'Leave Records'!$F:$F,"&lt;="&amp;EOMONTH(DATE(Config!$I$7,9,1),0)))</f>
        <v>0</v>
      </c>
      <c r="M25" s="10">
        <f>IF($B25="","",SUMIFS('Leave Records'!$I:$I,'Leave Records'!$B:$B,$B25,'Leave Records'!$K:$K,"Approved",'Leave Records'!$F:$F,"&gt;="&amp;DATE(Config!$I$7,10,1),'Leave Records'!$F:$F,"&lt;="&amp;EOMONTH(DATE(Config!$I$7,10,1),0)))</f>
        <v>0</v>
      </c>
      <c r="N25" s="10">
        <f>IF($B25="","",SUMIFS('Leave Records'!$I:$I,'Leave Records'!$B:$B,$B25,'Leave Records'!$K:$K,"Approved",'Leave Records'!$F:$F,"&gt;="&amp;DATE(Config!$I$7,11,1),'Leave Records'!$F:$F,"&lt;="&amp;EOMONTH(DATE(Config!$I$7,11,1),0)))</f>
        <v>0</v>
      </c>
      <c r="O25" s="8">
        <f>IF($B25="","",SUMIFS('Leave Records'!$I:$I,'Leave Records'!$B:$B,$B25,'Leave Records'!$K:$K,"Approved",'Leave Records'!$F:$F,"&gt;="&amp;DATE(Config!$I$7,12,1),'Leave Records'!$F:$F,"&lt;="&amp;EOMONTH(DATE(Config!$I$7,12,1),0)))</f>
        <v>0</v>
      </c>
      <c r="P25" s="11">
        <f t="shared" si="1"/>
        <v>3</v>
      </c>
    </row>
    <row r="26" ht="17" customHeight="1" spans="1:16">
      <c r="A26" s="5">
        <f t="shared" si="0"/>
        <v>22</v>
      </c>
      <c r="B26" s="12" t="str">
        <f>IF(Config!$B$28="","",Config!$B$28)</f>
        <v>Farhana Yesmin</v>
      </c>
      <c r="C26" s="13" t="str">
        <f>IF(Config!$B$28="","",Config!$C$28)</f>
        <v/>
      </c>
      <c r="D26" s="9">
        <f>IF($B26="","",SUMIFS('Leave Records'!$I:$I,'Leave Records'!$B:$B,$B26,'Leave Records'!$K:$K,"Approved",'Leave Records'!$F:$F,"&gt;="&amp;DATE(Config!$I$7,1,1),'Leave Records'!$F:$F,"&lt;="&amp;EOMONTH(DATE(Config!$I$7,1,1),0)))</f>
        <v>0</v>
      </c>
      <c r="E26" s="9">
        <f>IF($B26="","",SUMIFS('Leave Records'!$I:$I,'Leave Records'!$B:$B,$B26,'Leave Records'!$K:$K,"Approved",'Leave Records'!$F:$F,"&gt;="&amp;DATE(Config!$I$7,2,1),'Leave Records'!$F:$F,"&lt;="&amp;EOMONTH(DATE(Config!$I$7,2,1),0)))</f>
        <v>0</v>
      </c>
      <c r="F26" s="9">
        <f>IF($B26="","",SUMIFS('Leave Records'!$I:$I,'Leave Records'!$B:$B,$B26,'Leave Records'!$K:$K,"Approved",'Leave Records'!$F:$F,"&gt;="&amp;DATE(Config!$I$7,3,1),'Leave Records'!$F:$F,"&lt;="&amp;EOMONTH(DATE(Config!$I$7,3,1),0)))</f>
        <v>1</v>
      </c>
      <c r="G26" s="9">
        <f>IF($B26="","",SUMIFS('Leave Records'!$I:$I,'Leave Records'!$B:$B,$B26,'Leave Records'!$K:$K,"Approved",'Leave Records'!$F:$F,"&gt;="&amp;DATE(Config!$I$7,4,1),'Leave Records'!$F:$F,"&lt;="&amp;EOMONTH(DATE(Config!$I$7,4,1),0)))</f>
        <v>0</v>
      </c>
      <c r="H26" s="9">
        <f>IF($B26="","",SUMIFS('Leave Records'!$I:$I,'Leave Records'!$B:$B,$B26,'Leave Records'!$K:$K,"Approved",'Leave Records'!$F:$F,"&gt;="&amp;DATE(Config!$I$7,5,1),'Leave Records'!$F:$F,"&lt;="&amp;EOMONTH(DATE(Config!$I$7,5,1),0)))</f>
        <v>1</v>
      </c>
      <c r="I26" s="9">
        <f>IF($B26="","",SUMIFS('Leave Records'!$I:$I,'Leave Records'!$B:$B,$B26,'Leave Records'!$K:$K,"Approved",'Leave Records'!$F:$F,"&gt;="&amp;DATE(Config!$I$7,6,1),'Leave Records'!$F:$F,"&lt;="&amp;EOMONTH(DATE(Config!$I$7,6,1),0)))</f>
        <v>0</v>
      </c>
      <c r="J26" s="9">
        <f>IF($B26="","",SUMIFS('Leave Records'!$I:$I,'Leave Records'!$B:$B,$B26,'Leave Records'!$K:$K,"Approved",'Leave Records'!$F:$F,"&gt;="&amp;DATE(Config!$I$7,7,1),'Leave Records'!$F:$F,"&lt;="&amp;EOMONTH(DATE(Config!$I$7,7,1),0)))</f>
        <v>0</v>
      </c>
      <c r="K26" s="9">
        <f>IF($B26="","",SUMIFS('Leave Records'!$I:$I,'Leave Records'!$B:$B,$B26,'Leave Records'!$K:$K,"Approved",'Leave Records'!$F:$F,"&gt;="&amp;DATE(Config!$I$7,8,1),'Leave Records'!$F:$F,"&lt;="&amp;EOMONTH(DATE(Config!$I$7,8,1),0)))</f>
        <v>0</v>
      </c>
      <c r="L26" s="9">
        <f>IF($B26="","",SUMIFS('Leave Records'!$I:$I,'Leave Records'!$B:$B,$B26,'Leave Records'!$K:$K,"Approved",'Leave Records'!$F:$F,"&gt;="&amp;DATE(Config!$I$7,9,1),'Leave Records'!$F:$F,"&lt;="&amp;EOMONTH(DATE(Config!$I$7,9,1),0)))</f>
        <v>0</v>
      </c>
      <c r="M26" s="9">
        <f>IF($B26="","",SUMIFS('Leave Records'!$I:$I,'Leave Records'!$B:$B,$B26,'Leave Records'!$K:$K,"Approved",'Leave Records'!$F:$F,"&gt;="&amp;DATE(Config!$I$7,10,1),'Leave Records'!$F:$F,"&lt;="&amp;EOMONTH(DATE(Config!$I$7,10,1),0)))</f>
        <v>0</v>
      </c>
      <c r="N26" s="9">
        <f>IF($B26="","",SUMIFS('Leave Records'!$I:$I,'Leave Records'!$B:$B,$B26,'Leave Records'!$K:$K,"Approved",'Leave Records'!$F:$F,"&gt;="&amp;DATE(Config!$I$7,11,1),'Leave Records'!$F:$F,"&lt;="&amp;EOMONTH(DATE(Config!$I$7,11,1),0)))</f>
        <v>0</v>
      </c>
      <c r="O26" s="9">
        <f>IF($B26="","",SUMIFS('Leave Records'!$I:$I,'Leave Records'!$B:$B,$B26,'Leave Records'!$K:$K,"Approved",'Leave Records'!$F:$F,"&gt;="&amp;DATE(Config!$I$7,12,1),'Leave Records'!$F:$F,"&lt;="&amp;EOMONTH(DATE(Config!$I$7,12,1),0)))</f>
        <v>0</v>
      </c>
      <c r="P26" s="14">
        <f t="shared" si="1"/>
        <v>2</v>
      </c>
    </row>
    <row r="27" ht="17" customHeight="1" spans="1:16">
      <c r="A27" s="5">
        <f t="shared" si="0"/>
        <v>23</v>
      </c>
      <c r="B27" s="6" t="str">
        <f>IF(Config!$B$29="","",Config!$B$29)</f>
        <v>Kamrun Nahar</v>
      </c>
      <c r="C27" s="7" t="str">
        <f>IF(Config!$B$29="","",Config!$C$29)</f>
        <v>Class Teacher</v>
      </c>
      <c r="D27" s="8">
        <f>IF($B27="","",SUMIFS('Leave Records'!$I:$I,'Leave Records'!$B:$B,$B27,'Leave Records'!$K:$K,"Approved",'Leave Records'!$F:$F,"&gt;="&amp;DATE(Config!$I$7,1,1),'Leave Records'!$F:$F,"&lt;="&amp;EOMONTH(DATE(Config!$I$7,1,1),0)))</f>
        <v>0</v>
      </c>
      <c r="E27" s="9">
        <f>IF($B27="","",SUMIFS('Leave Records'!$I:$I,'Leave Records'!$B:$B,$B27,'Leave Records'!$K:$K,"Approved",'Leave Records'!$F:$F,"&gt;="&amp;DATE(Config!$I$7,2,1),'Leave Records'!$F:$F,"&lt;="&amp;EOMONTH(DATE(Config!$I$7,2,1),0)))</f>
        <v>0</v>
      </c>
      <c r="F27" s="8">
        <f>IF($B27="","",SUMIFS('Leave Records'!$I:$I,'Leave Records'!$B:$B,$B27,'Leave Records'!$K:$K,"Approved",'Leave Records'!$F:$F,"&gt;="&amp;DATE(Config!$I$7,3,1),'Leave Records'!$F:$F,"&lt;="&amp;EOMONTH(DATE(Config!$I$7,3,1),0)))</f>
        <v>5</v>
      </c>
      <c r="G27" s="10">
        <f>IF($B27="","",SUMIFS('Leave Records'!$I:$I,'Leave Records'!$B:$B,$B27,'Leave Records'!$K:$K,"Approved",'Leave Records'!$F:$F,"&gt;="&amp;DATE(Config!$I$7,4,1),'Leave Records'!$F:$F,"&lt;="&amp;EOMONTH(DATE(Config!$I$7,4,1),0)))</f>
        <v>4</v>
      </c>
      <c r="H27" s="10">
        <f>IF($B27="","",SUMIFS('Leave Records'!$I:$I,'Leave Records'!$B:$B,$B27,'Leave Records'!$K:$K,"Approved",'Leave Records'!$F:$F,"&gt;="&amp;DATE(Config!$I$7,5,1),'Leave Records'!$F:$F,"&lt;="&amp;EOMONTH(DATE(Config!$I$7,5,1),0)))</f>
        <v>2</v>
      </c>
      <c r="I27" s="8">
        <f>IF($B27="","",SUMIFS('Leave Records'!$I:$I,'Leave Records'!$B:$B,$B27,'Leave Records'!$K:$K,"Approved",'Leave Records'!$F:$F,"&gt;="&amp;DATE(Config!$I$7,6,1),'Leave Records'!$F:$F,"&lt;="&amp;EOMONTH(DATE(Config!$I$7,6,1),0)))</f>
        <v>0</v>
      </c>
      <c r="J27" s="8">
        <f>IF($B27="","",SUMIFS('Leave Records'!$I:$I,'Leave Records'!$B:$B,$B27,'Leave Records'!$K:$K,"Approved",'Leave Records'!$F:$F,"&gt;="&amp;DATE(Config!$I$7,7,1),'Leave Records'!$F:$F,"&lt;="&amp;EOMONTH(DATE(Config!$I$7,7,1),0)))</f>
        <v>0</v>
      </c>
      <c r="K27" s="9">
        <f>IF($B27="","",SUMIFS('Leave Records'!$I:$I,'Leave Records'!$B:$B,$B27,'Leave Records'!$K:$K,"Approved",'Leave Records'!$F:$F,"&gt;="&amp;DATE(Config!$I$7,8,1),'Leave Records'!$F:$F,"&lt;="&amp;EOMONTH(DATE(Config!$I$7,8,1),0)))</f>
        <v>0</v>
      </c>
      <c r="L27" s="8">
        <f>IF($B27="","",SUMIFS('Leave Records'!$I:$I,'Leave Records'!$B:$B,$B27,'Leave Records'!$K:$K,"Approved",'Leave Records'!$F:$F,"&gt;="&amp;DATE(Config!$I$7,9,1),'Leave Records'!$F:$F,"&lt;="&amp;EOMONTH(DATE(Config!$I$7,9,1),0)))</f>
        <v>0</v>
      </c>
      <c r="M27" s="10">
        <f>IF($B27="","",SUMIFS('Leave Records'!$I:$I,'Leave Records'!$B:$B,$B27,'Leave Records'!$K:$K,"Approved",'Leave Records'!$F:$F,"&gt;="&amp;DATE(Config!$I$7,10,1),'Leave Records'!$F:$F,"&lt;="&amp;EOMONTH(DATE(Config!$I$7,10,1),0)))</f>
        <v>0</v>
      </c>
      <c r="N27" s="10">
        <f>IF($B27="","",SUMIFS('Leave Records'!$I:$I,'Leave Records'!$B:$B,$B27,'Leave Records'!$K:$K,"Approved",'Leave Records'!$F:$F,"&gt;="&amp;DATE(Config!$I$7,11,1),'Leave Records'!$F:$F,"&lt;="&amp;EOMONTH(DATE(Config!$I$7,11,1),0)))</f>
        <v>0</v>
      </c>
      <c r="O27" s="8">
        <f>IF($B27="","",SUMIFS('Leave Records'!$I:$I,'Leave Records'!$B:$B,$B27,'Leave Records'!$K:$K,"Approved",'Leave Records'!$F:$F,"&gt;="&amp;DATE(Config!$I$7,12,1),'Leave Records'!$F:$F,"&lt;="&amp;EOMONTH(DATE(Config!$I$7,12,1),0)))</f>
        <v>0</v>
      </c>
      <c r="P27" s="11">
        <f t="shared" si="1"/>
        <v>11</v>
      </c>
    </row>
    <row r="28" ht="17" customHeight="1" spans="1:16">
      <c r="A28" s="5">
        <f t="shared" si="0"/>
        <v>24</v>
      </c>
      <c r="B28" s="12" t="str">
        <f>IF(Config!$B$30="","",Config!$B$30)</f>
        <v>Tashmem Al Faed</v>
      </c>
      <c r="C28" s="13" t="str">
        <f>IF(Config!$B$30="","",Config!$C$30)</f>
        <v>Subject Teacher</v>
      </c>
      <c r="D28" s="9">
        <f>IF($B28="","",SUMIFS('Leave Records'!$I:$I,'Leave Records'!$B:$B,$B28,'Leave Records'!$K:$K,"Approved",'Leave Records'!$F:$F,"&gt;="&amp;DATE(Config!$I$7,1,1),'Leave Records'!$F:$F,"&lt;="&amp;EOMONTH(DATE(Config!$I$7,1,1),0)))</f>
        <v>0</v>
      </c>
      <c r="E28" s="9">
        <f>IF($B28="","",SUMIFS('Leave Records'!$I:$I,'Leave Records'!$B:$B,$B28,'Leave Records'!$K:$K,"Approved",'Leave Records'!$F:$F,"&gt;="&amp;DATE(Config!$I$7,2,1),'Leave Records'!$F:$F,"&lt;="&amp;EOMONTH(DATE(Config!$I$7,2,1),0)))</f>
        <v>0</v>
      </c>
      <c r="F28" s="9">
        <f>IF($B28="","",SUMIFS('Leave Records'!$I:$I,'Leave Records'!$B:$B,$B28,'Leave Records'!$K:$K,"Approved",'Leave Records'!$F:$F,"&gt;="&amp;DATE(Config!$I$7,3,1),'Leave Records'!$F:$F,"&lt;="&amp;EOMONTH(DATE(Config!$I$7,3,1),0)))</f>
        <v>0</v>
      </c>
      <c r="G28" s="9">
        <f>IF($B28="","",SUMIFS('Leave Records'!$I:$I,'Leave Records'!$B:$B,$B28,'Leave Records'!$K:$K,"Approved",'Leave Records'!$F:$F,"&gt;="&amp;DATE(Config!$I$7,4,1),'Leave Records'!$F:$F,"&lt;="&amp;EOMONTH(DATE(Config!$I$7,4,1),0)))</f>
        <v>0</v>
      </c>
      <c r="H28" s="9">
        <f>IF($B28="","",SUMIFS('Leave Records'!$I:$I,'Leave Records'!$B:$B,$B28,'Leave Records'!$K:$K,"Approved",'Leave Records'!$F:$F,"&gt;="&amp;DATE(Config!$I$7,5,1),'Leave Records'!$F:$F,"&lt;="&amp;EOMONTH(DATE(Config!$I$7,5,1),0)))</f>
        <v>1</v>
      </c>
      <c r="I28" s="9">
        <f>IF($B28="","",SUMIFS('Leave Records'!$I:$I,'Leave Records'!$B:$B,$B28,'Leave Records'!$K:$K,"Approved",'Leave Records'!$F:$F,"&gt;="&amp;DATE(Config!$I$7,6,1),'Leave Records'!$F:$F,"&lt;="&amp;EOMONTH(DATE(Config!$I$7,6,1),0)))</f>
        <v>0</v>
      </c>
      <c r="J28" s="9">
        <f>IF($B28="","",SUMIFS('Leave Records'!$I:$I,'Leave Records'!$B:$B,$B28,'Leave Records'!$K:$K,"Approved",'Leave Records'!$F:$F,"&gt;="&amp;DATE(Config!$I$7,7,1),'Leave Records'!$F:$F,"&lt;="&amp;EOMONTH(DATE(Config!$I$7,7,1),0)))</f>
        <v>0</v>
      </c>
      <c r="K28" s="9">
        <f>IF($B28="","",SUMIFS('Leave Records'!$I:$I,'Leave Records'!$B:$B,$B28,'Leave Records'!$K:$K,"Approved",'Leave Records'!$F:$F,"&gt;="&amp;DATE(Config!$I$7,8,1),'Leave Records'!$F:$F,"&lt;="&amp;EOMONTH(DATE(Config!$I$7,8,1),0)))</f>
        <v>0</v>
      </c>
      <c r="L28" s="9">
        <f>IF($B28="","",SUMIFS('Leave Records'!$I:$I,'Leave Records'!$B:$B,$B28,'Leave Records'!$K:$K,"Approved",'Leave Records'!$F:$F,"&gt;="&amp;DATE(Config!$I$7,9,1),'Leave Records'!$F:$F,"&lt;="&amp;EOMONTH(DATE(Config!$I$7,9,1),0)))</f>
        <v>0</v>
      </c>
      <c r="M28" s="9">
        <f>IF($B28="","",SUMIFS('Leave Records'!$I:$I,'Leave Records'!$B:$B,$B28,'Leave Records'!$K:$K,"Approved",'Leave Records'!$F:$F,"&gt;="&amp;DATE(Config!$I$7,10,1),'Leave Records'!$F:$F,"&lt;="&amp;EOMONTH(DATE(Config!$I$7,10,1),0)))</f>
        <v>0</v>
      </c>
      <c r="N28" s="9">
        <f>IF($B28="","",SUMIFS('Leave Records'!$I:$I,'Leave Records'!$B:$B,$B28,'Leave Records'!$K:$K,"Approved",'Leave Records'!$F:$F,"&gt;="&amp;DATE(Config!$I$7,11,1),'Leave Records'!$F:$F,"&lt;="&amp;EOMONTH(DATE(Config!$I$7,11,1),0)))</f>
        <v>0</v>
      </c>
      <c r="O28" s="9">
        <f>IF($B28="","",SUMIFS('Leave Records'!$I:$I,'Leave Records'!$B:$B,$B28,'Leave Records'!$K:$K,"Approved",'Leave Records'!$F:$F,"&gt;="&amp;DATE(Config!$I$7,12,1),'Leave Records'!$F:$F,"&lt;="&amp;EOMONTH(DATE(Config!$I$7,12,1),0)))</f>
        <v>0</v>
      </c>
      <c r="P28" s="14">
        <f t="shared" si="1"/>
        <v>1</v>
      </c>
    </row>
    <row r="29" ht="17" customHeight="1" spans="1:16">
      <c r="A29" s="5">
        <f t="shared" si="0"/>
        <v>25</v>
      </c>
      <c r="B29" s="6" t="str">
        <f>IF(Config!$B$31="","",Config!$B$31)</f>
        <v>Md Murad Hoshen</v>
      </c>
      <c r="C29" s="7" t="str">
        <f>IF(Config!$B$31="","",Config!$C$31)</f>
        <v>IC Co-ordinator</v>
      </c>
      <c r="D29" s="8">
        <f>IF($B29="","",SUMIFS('Leave Records'!$I:$I,'Leave Records'!$B:$B,$B29,'Leave Records'!$K:$K,"Approved",'Leave Records'!$F:$F,"&gt;="&amp;DATE(Config!$I$7,1,1),'Leave Records'!$F:$F,"&lt;="&amp;EOMONTH(DATE(Config!$I$7,1,1),0)))</f>
        <v>0</v>
      </c>
      <c r="E29" s="9">
        <f>IF($B29="","",SUMIFS('Leave Records'!$I:$I,'Leave Records'!$B:$B,$B29,'Leave Records'!$K:$K,"Approved",'Leave Records'!$F:$F,"&gt;="&amp;DATE(Config!$I$7,2,1),'Leave Records'!$F:$F,"&lt;="&amp;EOMONTH(DATE(Config!$I$7,2,1),0)))</f>
        <v>0</v>
      </c>
      <c r="F29" s="8">
        <f>IF($B29="","",SUMIFS('Leave Records'!$I:$I,'Leave Records'!$B:$B,$B29,'Leave Records'!$K:$K,"Approved",'Leave Records'!$F:$F,"&gt;="&amp;DATE(Config!$I$7,3,1),'Leave Records'!$F:$F,"&lt;="&amp;EOMONTH(DATE(Config!$I$7,3,1),0)))</f>
        <v>0</v>
      </c>
      <c r="G29" s="10">
        <f>IF($B29="","",SUMIFS('Leave Records'!$I:$I,'Leave Records'!$B:$B,$B29,'Leave Records'!$K:$K,"Approved",'Leave Records'!$F:$F,"&gt;="&amp;DATE(Config!$I$7,4,1),'Leave Records'!$F:$F,"&lt;="&amp;EOMONTH(DATE(Config!$I$7,4,1),0)))</f>
        <v>2</v>
      </c>
      <c r="H29" s="10">
        <f>IF($B29="","",SUMIFS('Leave Records'!$I:$I,'Leave Records'!$B:$B,$B29,'Leave Records'!$K:$K,"Approved",'Leave Records'!$F:$F,"&gt;="&amp;DATE(Config!$I$7,5,1),'Leave Records'!$F:$F,"&lt;="&amp;EOMONTH(DATE(Config!$I$7,5,1),0)))</f>
        <v>0</v>
      </c>
      <c r="I29" s="8">
        <f>IF($B29="","",SUMIFS('Leave Records'!$I:$I,'Leave Records'!$B:$B,$B29,'Leave Records'!$K:$K,"Approved",'Leave Records'!$F:$F,"&gt;="&amp;DATE(Config!$I$7,6,1),'Leave Records'!$F:$F,"&lt;="&amp;EOMONTH(DATE(Config!$I$7,6,1),0)))</f>
        <v>0</v>
      </c>
      <c r="J29" s="8">
        <f>IF($B29="","",SUMIFS('Leave Records'!$I:$I,'Leave Records'!$B:$B,$B29,'Leave Records'!$K:$K,"Approved",'Leave Records'!$F:$F,"&gt;="&amp;DATE(Config!$I$7,7,1),'Leave Records'!$F:$F,"&lt;="&amp;EOMONTH(DATE(Config!$I$7,7,1),0)))</f>
        <v>0</v>
      </c>
      <c r="K29" s="9">
        <f>IF($B29="","",SUMIFS('Leave Records'!$I:$I,'Leave Records'!$B:$B,$B29,'Leave Records'!$K:$K,"Approved",'Leave Records'!$F:$F,"&gt;="&amp;DATE(Config!$I$7,8,1),'Leave Records'!$F:$F,"&lt;="&amp;EOMONTH(DATE(Config!$I$7,8,1),0)))</f>
        <v>0</v>
      </c>
      <c r="L29" s="8">
        <f>IF($B29="","",SUMIFS('Leave Records'!$I:$I,'Leave Records'!$B:$B,$B29,'Leave Records'!$K:$K,"Approved",'Leave Records'!$F:$F,"&gt;="&amp;DATE(Config!$I$7,9,1),'Leave Records'!$F:$F,"&lt;="&amp;EOMONTH(DATE(Config!$I$7,9,1),0)))</f>
        <v>0</v>
      </c>
      <c r="M29" s="10">
        <f>IF($B29="","",SUMIFS('Leave Records'!$I:$I,'Leave Records'!$B:$B,$B29,'Leave Records'!$K:$K,"Approved",'Leave Records'!$F:$F,"&gt;="&amp;DATE(Config!$I$7,10,1),'Leave Records'!$F:$F,"&lt;="&amp;EOMONTH(DATE(Config!$I$7,10,1),0)))</f>
        <v>0</v>
      </c>
      <c r="N29" s="10">
        <f>IF($B29="","",SUMIFS('Leave Records'!$I:$I,'Leave Records'!$B:$B,$B29,'Leave Records'!$K:$K,"Approved",'Leave Records'!$F:$F,"&gt;="&amp;DATE(Config!$I$7,11,1),'Leave Records'!$F:$F,"&lt;="&amp;EOMONTH(DATE(Config!$I$7,11,1),0)))</f>
        <v>0</v>
      </c>
      <c r="O29" s="8">
        <f>IF($B29="","",SUMIFS('Leave Records'!$I:$I,'Leave Records'!$B:$B,$B29,'Leave Records'!$K:$K,"Approved",'Leave Records'!$F:$F,"&gt;="&amp;DATE(Config!$I$7,12,1),'Leave Records'!$F:$F,"&lt;="&amp;EOMONTH(DATE(Config!$I$7,12,1),0)))</f>
        <v>0</v>
      </c>
      <c r="P29" s="11">
        <f t="shared" si="1"/>
        <v>2</v>
      </c>
    </row>
    <row r="30" ht="17" customHeight="1" spans="1:16">
      <c r="A30" s="5">
        <f t="shared" si="0"/>
        <v>26</v>
      </c>
      <c r="B30" s="12" t="str">
        <f>IF(Config!$B$32="","",Config!$B$32)</f>
        <v>Najmul Haque Masum</v>
      </c>
      <c r="C30" s="13" t="str">
        <f>IF(Config!$B$32="","",Config!$C$32)</f>
        <v>Subject Teacher (IC)</v>
      </c>
      <c r="D30" s="9">
        <f>IF($B30="","",SUMIFS('Leave Records'!$I:$I,'Leave Records'!$B:$B,$B30,'Leave Records'!$K:$K,"Approved",'Leave Records'!$F:$F,"&gt;="&amp;DATE(Config!$I$7,1,1),'Leave Records'!$F:$F,"&lt;="&amp;EOMONTH(DATE(Config!$I$7,1,1),0)))</f>
        <v>0</v>
      </c>
      <c r="E30" s="9">
        <f>IF($B30="","",SUMIFS('Leave Records'!$I:$I,'Leave Records'!$B:$B,$B30,'Leave Records'!$K:$K,"Approved",'Leave Records'!$F:$F,"&gt;="&amp;DATE(Config!$I$7,2,1),'Leave Records'!$F:$F,"&lt;="&amp;EOMONTH(DATE(Config!$I$7,2,1),0)))</f>
        <v>0</v>
      </c>
      <c r="F30" s="9">
        <f>IF($B30="","",SUMIFS('Leave Records'!$I:$I,'Leave Records'!$B:$B,$B30,'Leave Records'!$K:$K,"Approved",'Leave Records'!$F:$F,"&gt;="&amp;DATE(Config!$I$7,3,1),'Leave Records'!$F:$F,"&lt;="&amp;EOMONTH(DATE(Config!$I$7,3,1),0)))</f>
        <v>2</v>
      </c>
      <c r="G30" s="9">
        <f>IF($B30="","",SUMIFS('Leave Records'!$I:$I,'Leave Records'!$B:$B,$B30,'Leave Records'!$K:$K,"Approved",'Leave Records'!$F:$F,"&gt;="&amp;DATE(Config!$I$7,4,1),'Leave Records'!$F:$F,"&lt;="&amp;EOMONTH(DATE(Config!$I$7,4,1),0)))</f>
        <v>0</v>
      </c>
      <c r="H30" s="9">
        <f>IF($B30="","",SUMIFS('Leave Records'!$I:$I,'Leave Records'!$B:$B,$B30,'Leave Records'!$K:$K,"Approved",'Leave Records'!$F:$F,"&gt;="&amp;DATE(Config!$I$7,5,1),'Leave Records'!$F:$F,"&lt;="&amp;EOMONTH(DATE(Config!$I$7,5,1),0)))</f>
        <v>1</v>
      </c>
      <c r="I30" s="9">
        <f>IF($B30="","",SUMIFS('Leave Records'!$I:$I,'Leave Records'!$B:$B,$B30,'Leave Records'!$K:$K,"Approved",'Leave Records'!$F:$F,"&gt;="&amp;DATE(Config!$I$7,6,1),'Leave Records'!$F:$F,"&lt;="&amp;EOMONTH(DATE(Config!$I$7,6,1),0)))</f>
        <v>0</v>
      </c>
      <c r="J30" s="9">
        <f>IF($B30="","",SUMIFS('Leave Records'!$I:$I,'Leave Records'!$B:$B,$B30,'Leave Records'!$K:$K,"Approved",'Leave Records'!$F:$F,"&gt;="&amp;DATE(Config!$I$7,7,1),'Leave Records'!$F:$F,"&lt;="&amp;EOMONTH(DATE(Config!$I$7,7,1),0)))</f>
        <v>0</v>
      </c>
      <c r="K30" s="9">
        <f>IF($B30="","",SUMIFS('Leave Records'!$I:$I,'Leave Records'!$B:$B,$B30,'Leave Records'!$K:$K,"Approved",'Leave Records'!$F:$F,"&gt;="&amp;DATE(Config!$I$7,8,1),'Leave Records'!$F:$F,"&lt;="&amp;EOMONTH(DATE(Config!$I$7,8,1),0)))</f>
        <v>0</v>
      </c>
      <c r="L30" s="9">
        <f>IF($B30="","",SUMIFS('Leave Records'!$I:$I,'Leave Records'!$B:$B,$B30,'Leave Records'!$K:$K,"Approved",'Leave Records'!$F:$F,"&gt;="&amp;DATE(Config!$I$7,9,1),'Leave Records'!$F:$F,"&lt;="&amp;EOMONTH(DATE(Config!$I$7,9,1),0)))</f>
        <v>0</v>
      </c>
      <c r="M30" s="9">
        <f>IF($B30="","",SUMIFS('Leave Records'!$I:$I,'Leave Records'!$B:$B,$B30,'Leave Records'!$K:$K,"Approved",'Leave Records'!$F:$F,"&gt;="&amp;DATE(Config!$I$7,10,1),'Leave Records'!$F:$F,"&lt;="&amp;EOMONTH(DATE(Config!$I$7,10,1),0)))</f>
        <v>0</v>
      </c>
      <c r="N30" s="9">
        <f>IF($B30="","",SUMIFS('Leave Records'!$I:$I,'Leave Records'!$B:$B,$B30,'Leave Records'!$K:$K,"Approved",'Leave Records'!$F:$F,"&gt;="&amp;DATE(Config!$I$7,11,1),'Leave Records'!$F:$F,"&lt;="&amp;EOMONTH(DATE(Config!$I$7,11,1),0)))</f>
        <v>0</v>
      </c>
      <c r="O30" s="9">
        <f>IF($B30="","",SUMIFS('Leave Records'!$I:$I,'Leave Records'!$B:$B,$B30,'Leave Records'!$K:$K,"Approved",'Leave Records'!$F:$F,"&gt;="&amp;DATE(Config!$I$7,12,1),'Leave Records'!$F:$F,"&lt;="&amp;EOMONTH(DATE(Config!$I$7,12,1),0)))</f>
        <v>0</v>
      </c>
      <c r="P30" s="14">
        <f t="shared" si="1"/>
        <v>3</v>
      </c>
    </row>
    <row r="31" ht="17" customHeight="1" spans="1:16">
      <c r="A31" s="5">
        <f t="shared" si="0"/>
        <v>27</v>
      </c>
      <c r="B31" s="6" t="str">
        <f>IF(Config!$B$33="","",Config!$B$33)</f>
        <v>Rahnuman Nesa Chowdhury</v>
      </c>
      <c r="C31" s="7" t="str">
        <f>IF(Config!$B$33="","",Config!$C$33)</f>
        <v>Class Teacher</v>
      </c>
      <c r="D31" s="8">
        <f>IF($B31="","",SUMIFS('Leave Records'!$I:$I,'Leave Records'!$B:$B,$B31,'Leave Records'!$K:$K,"Approved",'Leave Records'!$F:$F,"&gt;="&amp;DATE(Config!$I$7,1,1),'Leave Records'!$F:$F,"&lt;="&amp;EOMONTH(DATE(Config!$I$7,1,1),0)))</f>
        <v>0</v>
      </c>
      <c r="E31" s="9">
        <f>IF($B31="","",SUMIFS('Leave Records'!$I:$I,'Leave Records'!$B:$B,$B31,'Leave Records'!$K:$K,"Approved",'Leave Records'!$F:$F,"&gt;="&amp;DATE(Config!$I$7,2,1),'Leave Records'!$F:$F,"&lt;="&amp;EOMONTH(DATE(Config!$I$7,2,1),0)))</f>
        <v>0</v>
      </c>
      <c r="F31" s="8">
        <f>IF($B31="","",SUMIFS('Leave Records'!$I:$I,'Leave Records'!$B:$B,$B31,'Leave Records'!$K:$K,"Approved",'Leave Records'!$F:$F,"&gt;="&amp;DATE(Config!$I$7,3,1),'Leave Records'!$F:$F,"&lt;="&amp;EOMONTH(DATE(Config!$I$7,3,1),0)))</f>
        <v>0</v>
      </c>
      <c r="G31" s="10">
        <f>IF($B31="","",SUMIFS('Leave Records'!$I:$I,'Leave Records'!$B:$B,$B31,'Leave Records'!$K:$K,"Approved",'Leave Records'!$F:$F,"&gt;="&amp;DATE(Config!$I$7,4,1),'Leave Records'!$F:$F,"&lt;="&amp;EOMONTH(DATE(Config!$I$7,4,1),0)))</f>
        <v>0</v>
      </c>
      <c r="H31" s="10">
        <f>IF($B31="","",SUMIFS('Leave Records'!$I:$I,'Leave Records'!$B:$B,$B31,'Leave Records'!$K:$K,"Approved",'Leave Records'!$F:$F,"&gt;="&amp;DATE(Config!$I$7,5,1),'Leave Records'!$F:$F,"&lt;="&amp;EOMONTH(DATE(Config!$I$7,5,1),0)))</f>
        <v>1</v>
      </c>
      <c r="I31" s="8">
        <f>IF($B31="","",SUMIFS('Leave Records'!$I:$I,'Leave Records'!$B:$B,$B31,'Leave Records'!$K:$K,"Approved",'Leave Records'!$F:$F,"&gt;="&amp;DATE(Config!$I$7,6,1),'Leave Records'!$F:$F,"&lt;="&amp;EOMONTH(DATE(Config!$I$7,6,1),0)))</f>
        <v>1</v>
      </c>
      <c r="J31" s="8">
        <f>IF($B31="","",SUMIFS('Leave Records'!$I:$I,'Leave Records'!$B:$B,$B31,'Leave Records'!$K:$K,"Approved",'Leave Records'!$F:$F,"&gt;="&amp;DATE(Config!$I$7,7,1),'Leave Records'!$F:$F,"&lt;="&amp;EOMONTH(DATE(Config!$I$7,7,1),0)))</f>
        <v>0</v>
      </c>
      <c r="K31" s="9">
        <f>IF($B31="","",SUMIFS('Leave Records'!$I:$I,'Leave Records'!$B:$B,$B31,'Leave Records'!$K:$K,"Approved",'Leave Records'!$F:$F,"&gt;="&amp;DATE(Config!$I$7,8,1),'Leave Records'!$F:$F,"&lt;="&amp;EOMONTH(DATE(Config!$I$7,8,1),0)))</f>
        <v>0</v>
      </c>
      <c r="L31" s="8">
        <f>IF($B31="","",SUMIFS('Leave Records'!$I:$I,'Leave Records'!$B:$B,$B31,'Leave Records'!$K:$K,"Approved",'Leave Records'!$F:$F,"&gt;="&amp;DATE(Config!$I$7,9,1),'Leave Records'!$F:$F,"&lt;="&amp;EOMONTH(DATE(Config!$I$7,9,1),0)))</f>
        <v>0</v>
      </c>
      <c r="M31" s="10">
        <f>IF($B31="","",SUMIFS('Leave Records'!$I:$I,'Leave Records'!$B:$B,$B31,'Leave Records'!$K:$K,"Approved",'Leave Records'!$F:$F,"&gt;="&amp;DATE(Config!$I$7,10,1),'Leave Records'!$F:$F,"&lt;="&amp;EOMONTH(DATE(Config!$I$7,10,1),0)))</f>
        <v>0</v>
      </c>
      <c r="N31" s="10">
        <f>IF($B31="","",SUMIFS('Leave Records'!$I:$I,'Leave Records'!$B:$B,$B31,'Leave Records'!$K:$K,"Approved",'Leave Records'!$F:$F,"&gt;="&amp;DATE(Config!$I$7,11,1),'Leave Records'!$F:$F,"&lt;="&amp;EOMONTH(DATE(Config!$I$7,11,1),0)))</f>
        <v>0</v>
      </c>
      <c r="O31" s="8">
        <f>IF($B31="","",SUMIFS('Leave Records'!$I:$I,'Leave Records'!$B:$B,$B31,'Leave Records'!$K:$K,"Approved",'Leave Records'!$F:$F,"&gt;="&amp;DATE(Config!$I$7,12,1),'Leave Records'!$F:$F,"&lt;="&amp;EOMONTH(DATE(Config!$I$7,12,1),0)))</f>
        <v>0</v>
      </c>
      <c r="P31" s="11">
        <f t="shared" si="1"/>
        <v>2</v>
      </c>
    </row>
    <row r="32" ht="17" customHeight="1" spans="1:16">
      <c r="A32" s="5">
        <f t="shared" si="0"/>
        <v>28</v>
      </c>
      <c r="B32" s="12" t="str">
        <f>IF(Config!$B$34="","",Config!$B$34)</f>
        <v>Othora Nausin Jafrin</v>
      </c>
      <c r="C32" s="13" t="str">
        <f>IF(Config!$B$34="","",Config!$C$34)</f>
        <v>Assistant Teacher</v>
      </c>
      <c r="D32" s="9">
        <f>IF($B32="","",SUMIFS('Leave Records'!$I:$I,'Leave Records'!$B:$B,$B32,'Leave Records'!$K:$K,"Approved",'Leave Records'!$F:$F,"&gt;="&amp;DATE(Config!$I$7,1,1),'Leave Records'!$F:$F,"&lt;="&amp;EOMONTH(DATE(Config!$I$7,1,1),0)))</f>
        <v>0</v>
      </c>
      <c r="E32" s="9">
        <f>IF($B32="","",SUMIFS('Leave Records'!$I:$I,'Leave Records'!$B:$B,$B32,'Leave Records'!$K:$K,"Approved",'Leave Records'!$F:$F,"&gt;="&amp;DATE(Config!$I$7,2,1),'Leave Records'!$F:$F,"&lt;="&amp;EOMONTH(DATE(Config!$I$7,2,1),0)))</f>
        <v>0</v>
      </c>
      <c r="F32" s="9">
        <f>IF($B32="","",SUMIFS('Leave Records'!$I:$I,'Leave Records'!$B:$B,$B32,'Leave Records'!$K:$K,"Approved",'Leave Records'!$F:$F,"&gt;="&amp;DATE(Config!$I$7,3,1),'Leave Records'!$F:$F,"&lt;="&amp;EOMONTH(DATE(Config!$I$7,3,1),0)))</f>
        <v>1</v>
      </c>
      <c r="G32" s="9">
        <f>IF($B32="","",SUMIFS('Leave Records'!$I:$I,'Leave Records'!$B:$B,$B32,'Leave Records'!$K:$K,"Approved",'Leave Records'!$F:$F,"&gt;="&amp;DATE(Config!$I$7,4,1),'Leave Records'!$F:$F,"&lt;="&amp;EOMONTH(DATE(Config!$I$7,4,1),0)))</f>
        <v>2</v>
      </c>
      <c r="H32" s="9">
        <f>IF($B32="","",SUMIFS('Leave Records'!$I:$I,'Leave Records'!$B:$B,$B32,'Leave Records'!$K:$K,"Approved",'Leave Records'!$F:$F,"&gt;="&amp;DATE(Config!$I$7,5,1),'Leave Records'!$F:$F,"&lt;="&amp;EOMONTH(DATE(Config!$I$7,5,1),0)))</f>
        <v>0</v>
      </c>
      <c r="I32" s="9">
        <f>IF($B32="","",SUMIFS('Leave Records'!$I:$I,'Leave Records'!$B:$B,$B32,'Leave Records'!$K:$K,"Approved",'Leave Records'!$F:$F,"&gt;="&amp;DATE(Config!$I$7,6,1),'Leave Records'!$F:$F,"&lt;="&amp;EOMONTH(DATE(Config!$I$7,6,1),0)))</f>
        <v>0</v>
      </c>
      <c r="J32" s="9">
        <f>IF($B32="","",SUMIFS('Leave Records'!$I:$I,'Leave Records'!$B:$B,$B32,'Leave Records'!$K:$K,"Approved",'Leave Records'!$F:$F,"&gt;="&amp;DATE(Config!$I$7,7,1),'Leave Records'!$F:$F,"&lt;="&amp;EOMONTH(DATE(Config!$I$7,7,1),0)))</f>
        <v>0</v>
      </c>
      <c r="K32" s="9">
        <f>IF($B32="","",SUMIFS('Leave Records'!$I:$I,'Leave Records'!$B:$B,$B32,'Leave Records'!$K:$K,"Approved",'Leave Records'!$F:$F,"&gt;="&amp;DATE(Config!$I$7,8,1),'Leave Records'!$F:$F,"&lt;="&amp;EOMONTH(DATE(Config!$I$7,8,1),0)))</f>
        <v>0</v>
      </c>
      <c r="L32" s="9">
        <f>IF($B32="","",SUMIFS('Leave Records'!$I:$I,'Leave Records'!$B:$B,$B32,'Leave Records'!$K:$K,"Approved",'Leave Records'!$F:$F,"&gt;="&amp;DATE(Config!$I$7,9,1),'Leave Records'!$F:$F,"&lt;="&amp;EOMONTH(DATE(Config!$I$7,9,1),0)))</f>
        <v>0</v>
      </c>
      <c r="M32" s="9">
        <f>IF($B32="","",SUMIFS('Leave Records'!$I:$I,'Leave Records'!$B:$B,$B32,'Leave Records'!$K:$K,"Approved",'Leave Records'!$F:$F,"&gt;="&amp;DATE(Config!$I$7,10,1),'Leave Records'!$F:$F,"&lt;="&amp;EOMONTH(DATE(Config!$I$7,10,1),0)))</f>
        <v>0</v>
      </c>
      <c r="N32" s="9">
        <f>IF($B32="","",SUMIFS('Leave Records'!$I:$I,'Leave Records'!$B:$B,$B32,'Leave Records'!$K:$K,"Approved",'Leave Records'!$F:$F,"&gt;="&amp;DATE(Config!$I$7,11,1),'Leave Records'!$F:$F,"&lt;="&amp;EOMONTH(DATE(Config!$I$7,11,1),0)))</f>
        <v>0</v>
      </c>
      <c r="O32" s="9">
        <f>IF($B32="","",SUMIFS('Leave Records'!$I:$I,'Leave Records'!$B:$B,$B32,'Leave Records'!$K:$K,"Approved",'Leave Records'!$F:$F,"&gt;="&amp;DATE(Config!$I$7,12,1),'Leave Records'!$F:$F,"&lt;="&amp;EOMONTH(DATE(Config!$I$7,12,1),0)))</f>
        <v>0</v>
      </c>
      <c r="P32" s="14">
        <f t="shared" si="1"/>
        <v>3</v>
      </c>
    </row>
    <row r="33" ht="17" customHeight="1" spans="1:16">
      <c r="A33" s="5">
        <f t="shared" si="0"/>
        <v>29</v>
      </c>
      <c r="B33" s="6" t="str">
        <f>IF(Config!$B$35="","",Config!$B$35)</f>
        <v>Md Rahat Chy</v>
      </c>
      <c r="C33" s="7" t="str">
        <f>IF(Config!$B$35="","",Config!$C$35)</f>
        <v/>
      </c>
      <c r="D33" s="8">
        <f>IF($B33="","",SUMIFS('Leave Records'!$I:$I,'Leave Records'!$B:$B,$B33,'Leave Records'!$K:$K,"Approved",'Leave Records'!$F:$F,"&gt;="&amp;DATE(Config!$I$7,1,1),'Leave Records'!$F:$F,"&lt;="&amp;EOMONTH(DATE(Config!$I$7,1,1),0)))</f>
        <v>0</v>
      </c>
      <c r="E33" s="9">
        <f>IF($B33="","",SUMIFS('Leave Records'!$I:$I,'Leave Records'!$B:$B,$B33,'Leave Records'!$K:$K,"Approved",'Leave Records'!$F:$F,"&gt;="&amp;DATE(Config!$I$7,2,1),'Leave Records'!$F:$F,"&lt;="&amp;EOMONTH(DATE(Config!$I$7,2,1),0)))</f>
        <v>0</v>
      </c>
      <c r="F33" s="8">
        <f>IF($B33="","",SUMIFS('Leave Records'!$I:$I,'Leave Records'!$B:$B,$B33,'Leave Records'!$K:$K,"Approved",'Leave Records'!$F:$F,"&gt;="&amp;DATE(Config!$I$7,3,1),'Leave Records'!$F:$F,"&lt;="&amp;EOMONTH(DATE(Config!$I$7,3,1),0)))</f>
        <v>0</v>
      </c>
      <c r="G33" s="10">
        <f>IF($B33="","",SUMIFS('Leave Records'!$I:$I,'Leave Records'!$B:$B,$B33,'Leave Records'!$K:$K,"Approved",'Leave Records'!$F:$F,"&gt;="&amp;DATE(Config!$I$7,4,1),'Leave Records'!$F:$F,"&lt;="&amp;EOMONTH(DATE(Config!$I$7,4,1),0)))</f>
        <v>0</v>
      </c>
      <c r="H33" s="10">
        <f>IF($B33="","",SUMIFS('Leave Records'!$I:$I,'Leave Records'!$B:$B,$B33,'Leave Records'!$K:$K,"Approved",'Leave Records'!$F:$F,"&gt;="&amp;DATE(Config!$I$7,5,1),'Leave Records'!$F:$F,"&lt;="&amp;EOMONTH(DATE(Config!$I$7,5,1),0)))</f>
        <v>0</v>
      </c>
      <c r="I33" s="8">
        <f>IF($B33="","",SUMIFS('Leave Records'!$I:$I,'Leave Records'!$B:$B,$B33,'Leave Records'!$K:$K,"Approved",'Leave Records'!$F:$F,"&gt;="&amp;DATE(Config!$I$7,6,1),'Leave Records'!$F:$F,"&lt;="&amp;EOMONTH(DATE(Config!$I$7,6,1),0)))</f>
        <v>0</v>
      </c>
      <c r="J33" s="8">
        <f>IF($B33="","",SUMIFS('Leave Records'!$I:$I,'Leave Records'!$B:$B,$B33,'Leave Records'!$K:$K,"Approved",'Leave Records'!$F:$F,"&gt;="&amp;DATE(Config!$I$7,7,1),'Leave Records'!$F:$F,"&lt;="&amp;EOMONTH(DATE(Config!$I$7,7,1),0)))</f>
        <v>0</v>
      </c>
      <c r="K33" s="9">
        <f>IF($B33="","",SUMIFS('Leave Records'!$I:$I,'Leave Records'!$B:$B,$B33,'Leave Records'!$K:$K,"Approved",'Leave Records'!$F:$F,"&gt;="&amp;DATE(Config!$I$7,8,1),'Leave Records'!$F:$F,"&lt;="&amp;EOMONTH(DATE(Config!$I$7,8,1),0)))</f>
        <v>0</v>
      </c>
      <c r="L33" s="8">
        <f>IF($B33="","",SUMIFS('Leave Records'!$I:$I,'Leave Records'!$B:$B,$B33,'Leave Records'!$K:$K,"Approved",'Leave Records'!$F:$F,"&gt;="&amp;DATE(Config!$I$7,9,1),'Leave Records'!$F:$F,"&lt;="&amp;EOMONTH(DATE(Config!$I$7,9,1),0)))</f>
        <v>0</v>
      </c>
      <c r="M33" s="10">
        <f>IF($B33="","",SUMIFS('Leave Records'!$I:$I,'Leave Records'!$B:$B,$B33,'Leave Records'!$K:$K,"Approved",'Leave Records'!$F:$F,"&gt;="&amp;DATE(Config!$I$7,10,1),'Leave Records'!$F:$F,"&lt;="&amp;EOMONTH(DATE(Config!$I$7,10,1),0)))</f>
        <v>0</v>
      </c>
      <c r="N33" s="10">
        <f>IF($B33="","",SUMIFS('Leave Records'!$I:$I,'Leave Records'!$B:$B,$B33,'Leave Records'!$K:$K,"Approved",'Leave Records'!$F:$F,"&gt;="&amp;DATE(Config!$I$7,11,1),'Leave Records'!$F:$F,"&lt;="&amp;EOMONTH(DATE(Config!$I$7,11,1),0)))</f>
        <v>0</v>
      </c>
      <c r="O33" s="8">
        <f>IF($B33="","",SUMIFS('Leave Records'!$I:$I,'Leave Records'!$B:$B,$B33,'Leave Records'!$K:$K,"Approved",'Leave Records'!$F:$F,"&gt;="&amp;DATE(Config!$I$7,12,1),'Leave Records'!$F:$F,"&lt;="&amp;EOMONTH(DATE(Config!$I$7,12,1),0)))</f>
        <v>0</v>
      </c>
      <c r="P33" s="11">
        <f t="shared" si="1"/>
        <v>0</v>
      </c>
    </row>
    <row r="34" ht="17" customHeight="1" spans="1:16">
      <c r="A34" s="5">
        <f t="shared" si="0"/>
        <v>30</v>
      </c>
      <c r="B34" s="12" t="str">
        <f>IF(Config!$B$36="","",Config!$B$36)</f>
        <v>Sania Rahman</v>
      </c>
      <c r="C34" s="13" t="str">
        <f>IF(Config!$B$36="","",Config!$C$36)</f>
        <v>Class Teacher</v>
      </c>
      <c r="D34" s="9">
        <f>IF($B34="","",SUMIFS('Leave Records'!$I:$I,'Leave Records'!$B:$B,$B34,'Leave Records'!$K:$K,"Approved",'Leave Records'!$F:$F,"&gt;="&amp;DATE(Config!$I$7,1,1),'Leave Records'!$F:$F,"&lt;="&amp;EOMONTH(DATE(Config!$I$7,1,1),0)))</f>
        <v>0</v>
      </c>
      <c r="E34" s="9">
        <f>IF($B34="","",SUMIFS('Leave Records'!$I:$I,'Leave Records'!$B:$B,$B34,'Leave Records'!$K:$K,"Approved",'Leave Records'!$F:$F,"&gt;="&amp;DATE(Config!$I$7,2,1),'Leave Records'!$F:$F,"&lt;="&amp;EOMONTH(DATE(Config!$I$7,2,1),0)))</f>
        <v>0</v>
      </c>
      <c r="F34" s="9">
        <f>IF($B34="","",SUMIFS('Leave Records'!$I:$I,'Leave Records'!$B:$B,$B34,'Leave Records'!$K:$K,"Approved",'Leave Records'!$F:$F,"&gt;="&amp;DATE(Config!$I$7,3,1),'Leave Records'!$F:$F,"&lt;="&amp;EOMONTH(DATE(Config!$I$7,3,1),0)))</f>
        <v>0</v>
      </c>
      <c r="G34" s="9">
        <f>IF($B34="","",SUMIFS('Leave Records'!$I:$I,'Leave Records'!$B:$B,$B34,'Leave Records'!$K:$K,"Approved",'Leave Records'!$F:$F,"&gt;="&amp;DATE(Config!$I$7,4,1),'Leave Records'!$F:$F,"&lt;="&amp;EOMONTH(DATE(Config!$I$7,4,1),0)))</f>
        <v>0</v>
      </c>
      <c r="H34" s="9">
        <f>IF($B34="","",SUMIFS('Leave Records'!$I:$I,'Leave Records'!$B:$B,$B34,'Leave Records'!$K:$K,"Approved",'Leave Records'!$F:$F,"&gt;="&amp;DATE(Config!$I$7,5,1),'Leave Records'!$F:$F,"&lt;="&amp;EOMONTH(DATE(Config!$I$7,5,1),0)))</f>
        <v>3</v>
      </c>
      <c r="I34" s="9">
        <f>IF($B34="","",SUMIFS('Leave Records'!$I:$I,'Leave Records'!$B:$B,$B34,'Leave Records'!$K:$K,"Approved",'Leave Records'!$F:$F,"&gt;="&amp;DATE(Config!$I$7,6,1),'Leave Records'!$F:$F,"&lt;="&amp;EOMONTH(DATE(Config!$I$7,6,1),0)))</f>
        <v>0</v>
      </c>
      <c r="J34" s="9">
        <f>IF($B34="","",SUMIFS('Leave Records'!$I:$I,'Leave Records'!$B:$B,$B34,'Leave Records'!$K:$K,"Approved",'Leave Records'!$F:$F,"&gt;="&amp;DATE(Config!$I$7,7,1),'Leave Records'!$F:$F,"&lt;="&amp;EOMONTH(DATE(Config!$I$7,7,1),0)))</f>
        <v>0</v>
      </c>
      <c r="K34" s="9">
        <f>IF($B34="","",SUMIFS('Leave Records'!$I:$I,'Leave Records'!$B:$B,$B34,'Leave Records'!$K:$K,"Approved",'Leave Records'!$F:$F,"&gt;="&amp;DATE(Config!$I$7,8,1),'Leave Records'!$F:$F,"&lt;="&amp;EOMONTH(DATE(Config!$I$7,8,1),0)))</f>
        <v>0</v>
      </c>
      <c r="L34" s="9">
        <f>IF($B34="","",SUMIFS('Leave Records'!$I:$I,'Leave Records'!$B:$B,$B34,'Leave Records'!$K:$K,"Approved",'Leave Records'!$F:$F,"&gt;="&amp;DATE(Config!$I$7,9,1),'Leave Records'!$F:$F,"&lt;="&amp;EOMONTH(DATE(Config!$I$7,9,1),0)))</f>
        <v>0</v>
      </c>
      <c r="M34" s="9">
        <f>IF($B34="","",SUMIFS('Leave Records'!$I:$I,'Leave Records'!$B:$B,$B34,'Leave Records'!$K:$K,"Approved",'Leave Records'!$F:$F,"&gt;="&amp;DATE(Config!$I$7,10,1),'Leave Records'!$F:$F,"&lt;="&amp;EOMONTH(DATE(Config!$I$7,10,1),0)))</f>
        <v>0</v>
      </c>
      <c r="N34" s="9">
        <f>IF($B34="","",SUMIFS('Leave Records'!$I:$I,'Leave Records'!$B:$B,$B34,'Leave Records'!$K:$K,"Approved",'Leave Records'!$F:$F,"&gt;="&amp;DATE(Config!$I$7,11,1),'Leave Records'!$F:$F,"&lt;="&amp;EOMONTH(DATE(Config!$I$7,11,1),0)))</f>
        <v>0</v>
      </c>
      <c r="O34" s="9">
        <f>IF($B34="","",SUMIFS('Leave Records'!$I:$I,'Leave Records'!$B:$B,$B34,'Leave Records'!$K:$K,"Approved",'Leave Records'!$F:$F,"&gt;="&amp;DATE(Config!$I$7,12,1),'Leave Records'!$F:$F,"&lt;="&amp;EOMONTH(DATE(Config!$I$7,12,1),0)))</f>
        <v>0</v>
      </c>
      <c r="P34" s="14">
        <f t="shared" si="1"/>
        <v>3</v>
      </c>
    </row>
    <row r="35" ht="17" customHeight="1" spans="1:16">
      <c r="A35" s="5">
        <f t="shared" si="0"/>
        <v>31</v>
      </c>
      <c r="B35" s="6" t="str">
        <f>IF(Config!$B$37="","",Config!$B$37)</f>
        <v>Jaharin Subah</v>
      </c>
      <c r="C35" s="7" t="str">
        <f>IF(Config!$B$37="","",Config!$C$37)</f>
        <v>Class Teacher</v>
      </c>
      <c r="D35" s="8">
        <f>IF($B35="","",SUMIFS('Leave Records'!$I:$I,'Leave Records'!$B:$B,$B35,'Leave Records'!$K:$K,"Approved",'Leave Records'!$F:$F,"&gt;="&amp;DATE(Config!$I$7,1,1),'Leave Records'!$F:$F,"&lt;="&amp;EOMONTH(DATE(Config!$I$7,1,1),0)))</f>
        <v>0</v>
      </c>
      <c r="E35" s="9">
        <f>IF($B35="","",SUMIFS('Leave Records'!$I:$I,'Leave Records'!$B:$B,$B35,'Leave Records'!$K:$K,"Approved",'Leave Records'!$F:$F,"&gt;="&amp;DATE(Config!$I$7,2,1),'Leave Records'!$F:$F,"&lt;="&amp;EOMONTH(DATE(Config!$I$7,2,1),0)))</f>
        <v>0</v>
      </c>
      <c r="F35" s="8">
        <f>IF($B35="","",SUMIFS('Leave Records'!$I:$I,'Leave Records'!$B:$B,$B35,'Leave Records'!$K:$K,"Approved",'Leave Records'!$F:$F,"&gt;="&amp;DATE(Config!$I$7,3,1),'Leave Records'!$F:$F,"&lt;="&amp;EOMONTH(DATE(Config!$I$7,3,1),0)))</f>
        <v>0</v>
      </c>
      <c r="G35" s="10">
        <f>IF($B35="","",SUMIFS('Leave Records'!$I:$I,'Leave Records'!$B:$B,$B35,'Leave Records'!$K:$K,"Approved",'Leave Records'!$F:$F,"&gt;="&amp;DATE(Config!$I$7,4,1),'Leave Records'!$F:$F,"&lt;="&amp;EOMONTH(DATE(Config!$I$7,4,1),0)))</f>
        <v>1</v>
      </c>
      <c r="H35" s="10">
        <f>IF($B35="","",SUMIFS('Leave Records'!$I:$I,'Leave Records'!$B:$B,$B35,'Leave Records'!$K:$K,"Approved",'Leave Records'!$F:$F,"&gt;="&amp;DATE(Config!$I$7,5,1),'Leave Records'!$F:$F,"&lt;="&amp;EOMONTH(DATE(Config!$I$7,5,1),0)))</f>
        <v>0</v>
      </c>
      <c r="I35" s="8">
        <f>IF($B35="","",SUMIFS('Leave Records'!$I:$I,'Leave Records'!$B:$B,$B35,'Leave Records'!$K:$K,"Approved",'Leave Records'!$F:$F,"&gt;="&amp;DATE(Config!$I$7,6,1),'Leave Records'!$F:$F,"&lt;="&amp;EOMONTH(DATE(Config!$I$7,6,1),0)))</f>
        <v>0</v>
      </c>
      <c r="J35" s="8">
        <f>IF($B35="","",SUMIFS('Leave Records'!$I:$I,'Leave Records'!$B:$B,$B35,'Leave Records'!$K:$K,"Approved",'Leave Records'!$F:$F,"&gt;="&amp;DATE(Config!$I$7,7,1),'Leave Records'!$F:$F,"&lt;="&amp;EOMONTH(DATE(Config!$I$7,7,1),0)))</f>
        <v>0</v>
      </c>
      <c r="K35" s="9">
        <f>IF($B35="","",SUMIFS('Leave Records'!$I:$I,'Leave Records'!$B:$B,$B35,'Leave Records'!$K:$K,"Approved",'Leave Records'!$F:$F,"&gt;="&amp;DATE(Config!$I$7,8,1),'Leave Records'!$F:$F,"&lt;="&amp;EOMONTH(DATE(Config!$I$7,8,1),0)))</f>
        <v>0</v>
      </c>
      <c r="L35" s="8">
        <f>IF($B35="","",SUMIFS('Leave Records'!$I:$I,'Leave Records'!$B:$B,$B35,'Leave Records'!$K:$K,"Approved",'Leave Records'!$F:$F,"&gt;="&amp;DATE(Config!$I$7,9,1),'Leave Records'!$F:$F,"&lt;="&amp;EOMONTH(DATE(Config!$I$7,9,1),0)))</f>
        <v>0</v>
      </c>
      <c r="M35" s="10">
        <f>IF($B35="","",SUMIFS('Leave Records'!$I:$I,'Leave Records'!$B:$B,$B35,'Leave Records'!$K:$K,"Approved",'Leave Records'!$F:$F,"&gt;="&amp;DATE(Config!$I$7,10,1),'Leave Records'!$F:$F,"&lt;="&amp;EOMONTH(DATE(Config!$I$7,10,1),0)))</f>
        <v>0</v>
      </c>
      <c r="N35" s="10">
        <f>IF($B35="","",SUMIFS('Leave Records'!$I:$I,'Leave Records'!$B:$B,$B35,'Leave Records'!$K:$K,"Approved",'Leave Records'!$F:$F,"&gt;="&amp;DATE(Config!$I$7,11,1),'Leave Records'!$F:$F,"&lt;="&amp;EOMONTH(DATE(Config!$I$7,11,1),0)))</f>
        <v>0</v>
      </c>
      <c r="O35" s="8">
        <f>IF($B35="","",SUMIFS('Leave Records'!$I:$I,'Leave Records'!$B:$B,$B35,'Leave Records'!$K:$K,"Approved",'Leave Records'!$F:$F,"&gt;="&amp;DATE(Config!$I$7,12,1),'Leave Records'!$F:$F,"&lt;="&amp;EOMONTH(DATE(Config!$I$7,12,1),0)))</f>
        <v>0</v>
      </c>
      <c r="P35" s="11">
        <f t="shared" si="1"/>
        <v>1</v>
      </c>
    </row>
    <row r="36" ht="17" customHeight="1" spans="1:16">
      <c r="A36" s="5">
        <f t="shared" si="0"/>
        <v>32</v>
      </c>
      <c r="B36" s="12" t="str">
        <f>IF(Config!$B$38="","",Config!$B$38)</f>
        <v>Afroza Akter</v>
      </c>
      <c r="C36" s="13" t="str">
        <f>IF(Config!$B$38="","",Config!$C$38)</f>
        <v/>
      </c>
      <c r="D36" s="9">
        <f>IF($B36="","",SUMIFS('Leave Records'!$I:$I,'Leave Records'!$B:$B,$B36,'Leave Records'!$K:$K,"Approved",'Leave Records'!$F:$F,"&gt;="&amp;DATE(Config!$I$7,1,1),'Leave Records'!$F:$F,"&lt;="&amp;EOMONTH(DATE(Config!$I$7,1,1),0)))</f>
        <v>0</v>
      </c>
      <c r="E36" s="9">
        <f>IF($B36="","",SUMIFS('Leave Records'!$I:$I,'Leave Records'!$B:$B,$B36,'Leave Records'!$K:$K,"Approved",'Leave Records'!$F:$F,"&gt;="&amp;DATE(Config!$I$7,2,1),'Leave Records'!$F:$F,"&lt;="&amp;EOMONTH(DATE(Config!$I$7,2,1),0)))</f>
        <v>0</v>
      </c>
      <c r="F36" s="9">
        <f>IF($B36="","",SUMIFS('Leave Records'!$I:$I,'Leave Records'!$B:$B,$B36,'Leave Records'!$K:$K,"Approved",'Leave Records'!$F:$F,"&gt;="&amp;DATE(Config!$I$7,3,1),'Leave Records'!$F:$F,"&lt;="&amp;EOMONTH(DATE(Config!$I$7,3,1),0)))</f>
        <v>0</v>
      </c>
      <c r="G36" s="9">
        <f>IF($B36="","",SUMIFS('Leave Records'!$I:$I,'Leave Records'!$B:$B,$B36,'Leave Records'!$K:$K,"Approved",'Leave Records'!$F:$F,"&gt;="&amp;DATE(Config!$I$7,4,1),'Leave Records'!$F:$F,"&lt;="&amp;EOMONTH(DATE(Config!$I$7,4,1),0)))</f>
        <v>0</v>
      </c>
      <c r="H36" s="9">
        <f>IF($B36="","",SUMIFS('Leave Records'!$I:$I,'Leave Records'!$B:$B,$B36,'Leave Records'!$K:$K,"Approved",'Leave Records'!$F:$F,"&gt;="&amp;DATE(Config!$I$7,5,1),'Leave Records'!$F:$F,"&lt;="&amp;EOMONTH(DATE(Config!$I$7,5,1),0)))</f>
        <v>0</v>
      </c>
      <c r="I36" s="9">
        <f>IF($B36="","",SUMIFS('Leave Records'!$I:$I,'Leave Records'!$B:$B,$B36,'Leave Records'!$K:$K,"Approved",'Leave Records'!$F:$F,"&gt;="&amp;DATE(Config!$I$7,6,1),'Leave Records'!$F:$F,"&lt;="&amp;EOMONTH(DATE(Config!$I$7,6,1),0)))</f>
        <v>0</v>
      </c>
      <c r="J36" s="9">
        <f>IF($B36="","",SUMIFS('Leave Records'!$I:$I,'Leave Records'!$B:$B,$B36,'Leave Records'!$K:$K,"Approved",'Leave Records'!$F:$F,"&gt;="&amp;DATE(Config!$I$7,7,1),'Leave Records'!$F:$F,"&lt;="&amp;EOMONTH(DATE(Config!$I$7,7,1),0)))</f>
        <v>0</v>
      </c>
      <c r="K36" s="9">
        <f>IF($B36="","",SUMIFS('Leave Records'!$I:$I,'Leave Records'!$B:$B,$B36,'Leave Records'!$K:$K,"Approved",'Leave Records'!$F:$F,"&gt;="&amp;DATE(Config!$I$7,8,1),'Leave Records'!$F:$F,"&lt;="&amp;EOMONTH(DATE(Config!$I$7,8,1),0)))</f>
        <v>0</v>
      </c>
      <c r="L36" s="9">
        <f>IF($B36="","",SUMIFS('Leave Records'!$I:$I,'Leave Records'!$B:$B,$B36,'Leave Records'!$K:$K,"Approved",'Leave Records'!$F:$F,"&gt;="&amp;DATE(Config!$I$7,9,1),'Leave Records'!$F:$F,"&lt;="&amp;EOMONTH(DATE(Config!$I$7,9,1),0)))</f>
        <v>0</v>
      </c>
      <c r="M36" s="9">
        <f>IF($B36="","",SUMIFS('Leave Records'!$I:$I,'Leave Records'!$B:$B,$B36,'Leave Records'!$K:$K,"Approved",'Leave Records'!$F:$F,"&gt;="&amp;DATE(Config!$I$7,10,1),'Leave Records'!$F:$F,"&lt;="&amp;EOMONTH(DATE(Config!$I$7,10,1),0)))</f>
        <v>0</v>
      </c>
      <c r="N36" s="9">
        <f>IF($B36="","",SUMIFS('Leave Records'!$I:$I,'Leave Records'!$B:$B,$B36,'Leave Records'!$K:$K,"Approved",'Leave Records'!$F:$F,"&gt;="&amp;DATE(Config!$I$7,11,1),'Leave Records'!$F:$F,"&lt;="&amp;EOMONTH(DATE(Config!$I$7,11,1),0)))</f>
        <v>0</v>
      </c>
      <c r="O36" s="9">
        <f>IF($B36="","",SUMIFS('Leave Records'!$I:$I,'Leave Records'!$B:$B,$B36,'Leave Records'!$K:$K,"Approved",'Leave Records'!$F:$F,"&gt;="&amp;DATE(Config!$I$7,12,1),'Leave Records'!$F:$F,"&lt;="&amp;EOMONTH(DATE(Config!$I$7,12,1),0)))</f>
        <v>0</v>
      </c>
      <c r="P36" s="14">
        <f t="shared" si="1"/>
        <v>0</v>
      </c>
    </row>
    <row r="37" ht="17" customHeight="1" spans="1:16">
      <c r="A37" s="5">
        <f t="shared" si="0"/>
        <v>33</v>
      </c>
      <c r="B37" s="6" t="str">
        <f>IF(Config!$B$39="","",Config!$B$39)</f>
        <v>Ummay Hani Juthi</v>
      </c>
      <c r="C37" s="7" t="str">
        <f>IF(Config!$B$39="","",Config!$C$39)</f>
        <v>Lead Teacher</v>
      </c>
      <c r="D37" s="8">
        <f>IF($B37="","",SUMIFS('Leave Records'!$I:$I,'Leave Records'!$B:$B,$B37,'Leave Records'!$K:$K,"Approved",'Leave Records'!$F:$F,"&gt;="&amp;DATE(Config!$I$7,1,1),'Leave Records'!$F:$F,"&lt;="&amp;EOMONTH(DATE(Config!$I$7,1,1),0)))</f>
        <v>0</v>
      </c>
      <c r="E37" s="9">
        <f>IF($B37="","",SUMIFS('Leave Records'!$I:$I,'Leave Records'!$B:$B,$B37,'Leave Records'!$K:$K,"Approved",'Leave Records'!$F:$F,"&gt;="&amp;DATE(Config!$I$7,2,1),'Leave Records'!$F:$F,"&lt;="&amp;EOMONTH(DATE(Config!$I$7,2,1),0)))</f>
        <v>0</v>
      </c>
      <c r="F37" s="8">
        <f>IF($B37="","",SUMIFS('Leave Records'!$I:$I,'Leave Records'!$B:$B,$B37,'Leave Records'!$K:$K,"Approved",'Leave Records'!$F:$F,"&gt;="&amp;DATE(Config!$I$7,3,1),'Leave Records'!$F:$F,"&lt;="&amp;EOMONTH(DATE(Config!$I$7,3,1),0)))</f>
        <v>3</v>
      </c>
      <c r="G37" s="10">
        <f>IF($B37="","",SUMIFS('Leave Records'!$I:$I,'Leave Records'!$B:$B,$B37,'Leave Records'!$K:$K,"Approved",'Leave Records'!$F:$F,"&gt;="&amp;DATE(Config!$I$7,4,1),'Leave Records'!$F:$F,"&lt;="&amp;EOMONTH(DATE(Config!$I$7,4,1),0)))</f>
        <v>0</v>
      </c>
      <c r="H37" s="10">
        <f>IF($B37="","",SUMIFS('Leave Records'!$I:$I,'Leave Records'!$B:$B,$B37,'Leave Records'!$K:$K,"Approved",'Leave Records'!$F:$F,"&gt;="&amp;DATE(Config!$I$7,5,1),'Leave Records'!$F:$F,"&lt;="&amp;EOMONTH(DATE(Config!$I$7,5,1),0)))</f>
        <v>1</v>
      </c>
      <c r="I37" s="8">
        <f>IF($B37="","",SUMIFS('Leave Records'!$I:$I,'Leave Records'!$B:$B,$B37,'Leave Records'!$K:$K,"Approved",'Leave Records'!$F:$F,"&gt;="&amp;DATE(Config!$I$7,6,1),'Leave Records'!$F:$F,"&lt;="&amp;EOMONTH(DATE(Config!$I$7,6,1),0)))</f>
        <v>0</v>
      </c>
      <c r="J37" s="8">
        <f>IF($B37="","",SUMIFS('Leave Records'!$I:$I,'Leave Records'!$B:$B,$B37,'Leave Records'!$K:$K,"Approved",'Leave Records'!$F:$F,"&gt;="&amp;DATE(Config!$I$7,7,1),'Leave Records'!$F:$F,"&lt;="&amp;EOMONTH(DATE(Config!$I$7,7,1),0)))</f>
        <v>0</v>
      </c>
      <c r="K37" s="9">
        <f>IF($B37="","",SUMIFS('Leave Records'!$I:$I,'Leave Records'!$B:$B,$B37,'Leave Records'!$K:$K,"Approved",'Leave Records'!$F:$F,"&gt;="&amp;DATE(Config!$I$7,8,1),'Leave Records'!$F:$F,"&lt;="&amp;EOMONTH(DATE(Config!$I$7,8,1),0)))</f>
        <v>0</v>
      </c>
      <c r="L37" s="8">
        <f>IF($B37="","",SUMIFS('Leave Records'!$I:$I,'Leave Records'!$B:$B,$B37,'Leave Records'!$K:$K,"Approved",'Leave Records'!$F:$F,"&gt;="&amp;DATE(Config!$I$7,9,1),'Leave Records'!$F:$F,"&lt;="&amp;EOMONTH(DATE(Config!$I$7,9,1),0)))</f>
        <v>0</v>
      </c>
      <c r="M37" s="10">
        <f>IF($B37="","",SUMIFS('Leave Records'!$I:$I,'Leave Records'!$B:$B,$B37,'Leave Records'!$K:$K,"Approved",'Leave Records'!$F:$F,"&gt;="&amp;DATE(Config!$I$7,10,1),'Leave Records'!$F:$F,"&lt;="&amp;EOMONTH(DATE(Config!$I$7,10,1),0)))</f>
        <v>0</v>
      </c>
      <c r="N37" s="10">
        <f>IF($B37="","",SUMIFS('Leave Records'!$I:$I,'Leave Records'!$B:$B,$B37,'Leave Records'!$K:$K,"Approved",'Leave Records'!$F:$F,"&gt;="&amp;DATE(Config!$I$7,11,1),'Leave Records'!$F:$F,"&lt;="&amp;EOMONTH(DATE(Config!$I$7,11,1),0)))</f>
        <v>0</v>
      </c>
      <c r="O37" s="8">
        <f>IF($B37="","",SUMIFS('Leave Records'!$I:$I,'Leave Records'!$B:$B,$B37,'Leave Records'!$K:$K,"Approved",'Leave Records'!$F:$F,"&gt;="&amp;DATE(Config!$I$7,12,1),'Leave Records'!$F:$F,"&lt;="&amp;EOMONTH(DATE(Config!$I$7,12,1),0)))</f>
        <v>0</v>
      </c>
      <c r="P37" s="11">
        <f t="shared" si="1"/>
        <v>4</v>
      </c>
    </row>
    <row r="38" ht="17" customHeight="1" spans="1:16">
      <c r="A38" s="5">
        <f t="shared" si="0"/>
        <v>34</v>
      </c>
      <c r="B38" s="12" t="str">
        <f>IF(Config!$B$40="","",Config!$B$40)</f>
        <v>Tanzina Haque</v>
      </c>
      <c r="C38" s="13" t="str">
        <f>IF(Config!$B$40="","",Config!$C$40)</f>
        <v>Subject Teacher</v>
      </c>
      <c r="D38" s="9">
        <f>IF($B38="","",SUMIFS('Leave Records'!$I:$I,'Leave Records'!$B:$B,$B38,'Leave Records'!$K:$K,"Approved",'Leave Records'!$F:$F,"&gt;="&amp;DATE(Config!$I$7,1,1),'Leave Records'!$F:$F,"&lt;="&amp;EOMONTH(DATE(Config!$I$7,1,1),0)))</f>
        <v>0</v>
      </c>
      <c r="E38" s="9">
        <f>IF($B38="","",SUMIFS('Leave Records'!$I:$I,'Leave Records'!$B:$B,$B38,'Leave Records'!$K:$K,"Approved",'Leave Records'!$F:$F,"&gt;="&amp;DATE(Config!$I$7,2,1),'Leave Records'!$F:$F,"&lt;="&amp;EOMONTH(DATE(Config!$I$7,2,1),0)))</f>
        <v>0</v>
      </c>
      <c r="F38" s="9">
        <f>IF($B38="","",SUMIFS('Leave Records'!$I:$I,'Leave Records'!$B:$B,$B38,'Leave Records'!$K:$K,"Approved",'Leave Records'!$F:$F,"&gt;="&amp;DATE(Config!$I$7,3,1),'Leave Records'!$F:$F,"&lt;="&amp;EOMONTH(DATE(Config!$I$7,3,1),0)))</f>
        <v>1</v>
      </c>
      <c r="G38" s="9">
        <f>IF($B38="","",SUMIFS('Leave Records'!$I:$I,'Leave Records'!$B:$B,$B38,'Leave Records'!$K:$K,"Approved",'Leave Records'!$F:$F,"&gt;="&amp;DATE(Config!$I$7,4,1),'Leave Records'!$F:$F,"&lt;="&amp;EOMONTH(DATE(Config!$I$7,4,1),0)))</f>
        <v>0</v>
      </c>
      <c r="H38" s="9">
        <f>IF($B38="","",SUMIFS('Leave Records'!$I:$I,'Leave Records'!$B:$B,$B38,'Leave Records'!$K:$K,"Approved",'Leave Records'!$F:$F,"&gt;="&amp;DATE(Config!$I$7,5,1),'Leave Records'!$F:$F,"&lt;="&amp;EOMONTH(DATE(Config!$I$7,5,1),0)))</f>
        <v>1</v>
      </c>
      <c r="I38" s="9">
        <f>IF($B38="","",SUMIFS('Leave Records'!$I:$I,'Leave Records'!$B:$B,$B38,'Leave Records'!$K:$K,"Approved",'Leave Records'!$F:$F,"&gt;="&amp;DATE(Config!$I$7,6,1),'Leave Records'!$F:$F,"&lt;="&amp;EOMONTH(DATE(Config!$I$7,6,1),0)))</f>
        <v>0</v>
      </c>
      <c r="J38" s="9">
        <f>IF($B38="","",SUMIFS('Leave Records'!$I:$I,'Leave Records'!$B:$B,$B38,'Leave Records'!$K:$K,"Approved",'Leave Records'!$F:$F,"&gt;="&amp;DATE(Config!$I$7,7,1),'Leave Records'!$F:$F,"&lt;="&amp;EOMONTH(DATE(Config!$I$7,7,1),0)))</f>
        <v>0</v>
      </c>
      <c r="K38" s="9">
        <f>IF($B38="","",SUMIFS('Leave Records'!$I:$I,'Leave Records'!$B:$B,$B38,'Leave Records'!$K:$K,"Approved",'Leave Records'!$F:$F,"&gt;="&amp;DATE(Config!$I$7,8,1),'Leave Records'!$F:$F,"&lt;="&amp;EOMONTH(DATE(Config!$I$7,8,1),0)))</f>
        <v>0</v>
      </c>
      <c r="L38" s="9">
        <f>IF($B38="","",SUMIFS('Leave Records'!$I:$I,'Leave Records'!$B:$B,$B38,'Leave Records'!$K:$K,"Approved",'Leave Records'!$F:$F,"&gt;="&amp;DATE(Config!$I$7,9,1),'Leave Records'!$F:$F,"&lt;="&amp;EOMONTH(DATE(Config!$I$7,9,1),0)))</f>
        <v>0</v>
      </c>
      <c r="M38" s="9">
        <f>IF($B38="","",SUMIFS('Leave Records'!$I:$I,'Leave Records'!$B:$B,$B38,'Leave Records'!$K:$K,"Approved",'Leave Records'!$F:$F,"&gt;="&amp;DATE(Config!$I$7,10,1),'Leave Records'!$F:$F,"&lt;="&amp;EOMONTH(DATE(Config!$I$7,10,1),0)))</f>
        <v>0</v>
      </c>
      <c r="N38" s="9">
        <f>IF($B38="","",SUMIFS('Leave Records'!$I:$I,'Leave Records'!$B:$B,$B38,'Leave Records'!$K:$K,"Approved",'Leave Records'!$F:$F,"&gt;="&amp;DATE(Config!$I$7,11,1),'Leave Records'!$F:$F,"&lt;="&amp;EOMONTH(DATE(Config!$I$7,11,1),0)))</f>
        <v>0</v>
      </c>
      <c r="O38" s="9">
        <f>IF($B38="","",SUMIFS('Leave Records'!$I:$I,'Leave Records'!$B:$B,$B38,'Leave Records'!$K:$K,"Approved",'Leave Records'!$F:$F,"&gt;="&amp;DATE(Config!$I$7,12,1),'Leave Records'!$F:$F,"&lt;="&amp;EOMONTH(DATE(Config!$I$7,12,1),0)))</f>
        <v>0</v>
      </c>
      <c r="P38" s="14">
        <f t="shared" si="1"/>
        <v>2</v>
      </c>
    </row>
    <row r="39" ht="17" customHeight="1" spans="1:16">
      <c r="A39" s="5">
        <f t="shared" si="0"/>
        <v>35</v>
      </c>
      <c r="B39" s="6" t="str">
        <f>IF(Config!$B$41="","",Config!$B$41)</f>
        <v>Tahsina Tarannum</v>
      </c>
      <c r="C39" s="7" t="str">
        <f>IF(Config!$B$41="","",Config!$C$41)</f>
        <v/>
      </c>
      <c r="D39" s="8">
        <f>IF($B39="","",SUMIFS('Leave Records'!$I:$I,'Leave Records'!$B:$B,$B39,'Leave Records'!$K:$K,"Approved",'Leave Records'!$F:$F,"&gt;="&amp;DATE(Config!$I$7,1,1),'Leave Records'!$F:$F,"&lt;="&amp;EOMONTH(DATE(Config!$I$7,1,1),0)))</f>
        <v>0</v>
      </c>
      <c r="E39" s="9">
        <f>IF($B39="","",SUMIFS('Leave Records'!$I:$I,'Leave Records'!$B:$B,$B39,'Leave Records'!$K:$K,"Approved",'Leave Records'!$F:$F,"&gt;="&amp;DATE(Config!$I$7,2,1),'Leave Records'!$F:$F,"&lt;="&amp;EOMONTH(DATE(Config!$I$7,2,1),0)))</f>
        <v>0</v>
      </c>
      <c r="F39" s="8">
        <f>IF($B39="","",SUMIFS('Leave Records'!$I:$I,'Leave Records'!$B:$B,$B39,'Leave Records'!$K:$K,"Approved",'Leave Records'!$F:$F,"&gt;="&amp;DATE(Config!$I$7,3,1),'Leave Records'!$F:$F,"&lt;="&amp;EOMONTH(DATE(Config!$I$7,3,1),0)))</f>
        <v>1</v>
      </c>
      <c r="G39" s="10">
        <f>IF($B39="","",SUMIFS('Leave Records'!$I:$I,'Leave Records'!$B:$B,$B39,'Leave Records'!$K:$K,"Approved",'Leave Records'!$F:$F,"&gt;="&amp;DATE(Config!$I$7,4,1),'Leave Records'!$F:$F,"&lt;="&amp;EOMONTH(DATE(Config!$I$7,4,1),0)))</f>
        <v>0</v>
      </c>
      <c r="H39" s="10">
        <f>IF($B39="","",SUMIFS('Leave Records'!$I:$I,'Leave Records'!$B:$B,$B39,'Leave Records'!$K:$K,"Approved",'Leave Records'!$F:$F,"&gt;="&amp;DATE(Config!$I$7,5,1),'Leave Records'!$F:$F,"&lt;="&amp;EOMONTH(DATE(Config!$I$7,5,1),0)))</f>
        <v>0</v>
      </c>
      <c r="I39" s="8">
        <f>IF($B39="","",SUMIFS('Leave Records'!$I:$I,'Leave Records'!$B:$B,$B39,'Leave Records'!$K:$K,"Approved",'Leave Records'!$F:$F,"&gt;="&amp;DATE(Config!$I$7,6,1),'Leave Records'!$F:$F,"&lt;="&amp;EOMONTH(DATE(Config!$I$7,6,1),0)))</f>
        <v>1</v>
      </c>
      <c r="J39" s="8">
        <f>IF($B39="","",SUMIFS('Leave Records'!$I:$I,'Leave Records'!$B:$B,$B39,'Leave Records'!$K:$K,"Approved",'Leave Records'!$F:$F,"&gt;="&amp;DATE(Config!$I$7,7,1),'Leave Records'!$F:$F,"&lt;="&amp;EOMONTH(DATE(Config!$I$7,7,1),0)))</f>
        <v>0</v>
      </c>
      <c r="K39" s="9">
        <f>IF($B39="","",SUMIFS('Leave Records'!$I:$I,'Leave Records'!$B:$B,$B39,'Leave Records'!$K:$K,"Approved",'Leave Records'!$F:$F,"&gt;="&amp;DATE(Config!$I$7,8,1),'Leave Records'!$F:$F,"&lt;="&amp;EOMONTH(DATE(Config!$I$7,8,1),0)))</f>
        <v>0</v>
      </c>
      <c r="L39" s="8">
        <f>IF($B39="","",SUMIFS('Leave Records'!$I:$I,'Leave Records'!$B:$B,$B39,'Leave Records'!$K:$K,"Approved",'Leave Records'!$F:$F,"&gt;="&amp;DATE(Config!$I$7,9,1),'Leave Records'!$F:$F,"&lt;="&amp;EOMONTH(DATE(Config!$I$7,9,1),0)))</f>
        <v>0</v>
      </c>
      <c r="M39" s="10">
        <f>IF($B39="","",SUMIFS('Leave Records'!$I:$I,'Leave Records'!$B:$B,$B39,'Leave Records'!$K:$K,"Approved",'Leave Records'!$F:$F,"&gt;="&amp;DATE(Config!$I$7,10,1),'Leave Records'!$F:$F,"&lt;="&amp;EOMONTH(DATE(Config!$I$7,10,1),0)))</f>
        <v>0</v>
      </c>
      <c r="N39" s="10">
        <f>IF($B39="","",SUMIFS('Leave Records'!$I:$I,'Leave Records'!$B:$B,$B39,'Leave Records'!$K:$K,"Approved",'Leave Records'!$F:$F,"&gt;="&amp;DATE(Config!$I$7,11,1),'Leave Records'!$F:$F,"&lt;="&amp;EOMONTH(DATE(Config!$I$7,11,1),0)))</f>
        <v>0</v>
      </c>
      <c r="O39" s="8">
        <f>IF($B39="","",SUMIFS('Leave Records'!$I:$I,'Leave Records'!$B:$B,$B39,'Leave Records'!$K:$K,"Approved",'Leave Records'!$F:$F,"&gt;="&amp;DATE(Config!$I$7,12,1),'Leave Records'!$F:$F,"&lt;="&amp;EOMONTH(DATE(Config!$I$7,12,1),0)))</f>
        <v>0</v>
      </c>
      <c r="P39" s="11">
        <f t="shared" si="1"/>
        <v>2</v>
      </c>
    </row>
    <row r="40" ht="17" customHeight="1" spans="1:16">
      <c r="A40" s="5">
        <f t="shared" si="0"/>
        <v>36</v>
      </c>
      <c r="B40" s="12" t="str">
        <f>IF(Config!$B$42="","",Config!$B$42)</f>
        <v>Mohammad Arafat Ul Alam</v>
      </c>
      <c r="C40" s="13" t="str">
        <f>IF(Config!$B$42="","",Config!$C$42)</f>
        <v/>
      </c>
      <c r="D40" s="9">
        <f>IF($B40="","",SUMIFS('Leave Records'!$I:$I,'Leave Records'!$B:$B,$B40,'Leave Records'!$K:$K,"Approved",'Leave Records'!$F:$F,"&gt;="&amp;DATE(Config!$I$7,1,1),'Leave Records'!$F:$F,"&lt;="&amp;EOMONTH(DATE(Config!$I$7,1,1),0)))</f>
        <v>0</v>
      </c>
      <c r="E40" s="9">
        <f>IF($B40="","",SUMIFS('Leave Records'!$I:$I,'Leave Records'!$B:$B,$B40,'Leave Records'!$K:$K,"Approved",'Leave Records'!$F:$F,"&gt;="&amp;DATE(Config!$I$7,2,1),'Leave Records'!$F:$F,"&lt;="&amp;EOMONTH(DATE(Config!$I$7,2,1),0)))</f>
        <v>0</v>
      </c>
      <c r="F40" s="9">
        <f>IF($B40="","",SUMIFS('Leave Records'!$I:$I,'Leave Records'!$B:$B,$B40,'Leave Records'!$K:$K,"Approved",'Leave Records'!$F:$F,"&gt;="&amp;DATE(Config!$I$7,3,1),'Leave Records'!$F:$F,"&lt;="&amp;EOMONTH(DATE(Config!$I$7,3,1),0)))</f>
        <v>3</v>
      </c>
      <c r="G40" s="9">
        <f>IF($B40="","",SUMIFS('Leave Records'!$I:$I,'Leave Records'!$B:$B,$B40,'Leave Records'!$K:$K,"Approved",'Leave Records'!$F:$F,"&gt;="&amp;DATE(Config!$I$7,4,1),'Leave Records'!$F:$F,"&lt;="&amp;EOMONTH(DATE(Config!$I$7,4,1),0)))</f>
        <v>0</v>
      </c>
      <c r="H40" s="9">
        <f>IF($B40="","",SUMIFS('Leave Records'!$I:$I,'Leave Records'!$B:$B,$B40,'Leave Records'!$K:$K,"Approved",'Leave Records'!$F:$F,"&gt;="&amp;DATE(Config!$I$7,5,1),'Leave Records'!$F:$F,"&lt;="&amp;EOMONTH(DATE(Config!$I$7,5,1),0)))</f>
        <v>0</v>
      </c>
      <c r="I40" s="9">
        <f>IF($B40="","",SUMIFS('Leave Records'!$I:$I,'Leave Records'!$B:$B,$B40,'Leave Records'!$K:$K,"Approved",'Leave Records'!$F:$F,"&gt;="&amp;DATE(Config!$I$7,6,1),'Leave Records'!$F:$F,"&lt;="&amp;EOMONTH(DATE(Config!$I$7,6,1),0)))</f>
        <v>0</v>
      </c>
      <c r="J40" s="9">
        <f>IF($B40="","",SUMIFS('Leave Records'!$I:$I,'Leave Records'!$B:$B,$B40,'Leave Records'!$K:$K,"Approved",'Leave Records'!$F:$F,"&gt;="&amp;DATE(Config!$I$7,7,1),'Leave Records'!$F:$F,"&lt;="&amp;EOMONTH(DATE(Config!$I$7,7,1),0)))</f>
        <v>0</v>
      </c>
      <c r="K40" s="9">
        <f>IF($B40="","",SUMIFS('Leave Records'!$I:$I,'Leave Records'!$B:$B,$B40,'Leave Records'!$K:$K,"Approved",'Leave Records'!$F:$F,"&gt;="&amp;DATE(Config!$I$7,8,1),'Leave Records'!$F:$F,"&lt;="&amp;EOMONTH(DATE(Config!$I$7,8,1),0)))</f>
        <v>0</v>
      </c>
      <c r="L40" s="9">
        <f>IF($B40="","",SUMIFS('Leave Records'!$I:$I,'Leave Records'!$B:$B,$B40,'Leave Records'!$K:$K,"Approved",'Leave Records'!$F:$F,"&gt;="&amp;DATE(Config!$I$7,9,1),'Leave Records'!$F:$F,"&lt;="&amp;EOMONTH(DATE(Config!$I$7,9,1),0)))</f>
        <v>0</v>
      </c>
      <c r="M40" s="9">
        <f>IF($B40="","",SUMIFS('Leave Records'!$I:$I,'Leave Records'!$B:$B,$B40,'Leave Records'!$K:$K,"Approved",'Leave Records'!$F:$F,"&gt;="&amp;DATE(Config!$I$7,10,1),'Leave Records'!$F:$F,"&lt;="&amp;EOMONTH(DATE(Config!$I$7,10,1),0)))</f>
        <v>0</v>
      </c>
      <c r="N40" s="9">
        <f>IF($B40="","",SUMIFS('Leave Records'!$I:$I,'Leave Records'!$B:$B,$B40,'Leave Records'!$K:$K,"Approved",'Leave Records'!$F:$F,"&gt;="&amp;DATE(Config!$I$7,11,1),'Leave Records'!$F:$F,"&lt;="&amp;EOMONTH(DATE(Config!$I$7,11,1),0)))</f>
        <v>0</v>
      </c>
      <c r="O40" s="9">
        <f>IF($B40="","",SUMIFS('Leave Records'!$I:$I,'Leave Records'!$B:$B,$B40,'Leave Records'!$K:$K,"Approved",'Leave Records'!$F:$F,"&gt;="&amp;DATE(Config!$I$7,12,1),'Leave Records'!$F:$F,"&lt;="&amp;EOMONTH(DATE(Config!$I$7,12,1),0)))</f>
        <v>0</v>
      </c>
      <c r="P40" s="14">
        <f t="shared" si="1"/>
        <v>3</v>
      </c>
    </row>
    <row r="41" ht="17" customHeight="1" spans="1:16">
      <c r="A41" s="5">
        <f t="shared" si="0"/>
        <v>37</v>
      </c>
      <c r="B41" s="6" t="str">
        <f>IF(Config!$B$43="","",Config!$B$43)</f>
        <v>Md Kawser Hussain Rasel</v>
      </c>
      <c r="C41" s="7" t="str">
        <f>IF(Config!$B$43="","",Config!$C$43)</f>
        <v/>
      </c>
      <c r="D41" s="8">
        <f>IF($B41="","",SUMIFS('Leave Records'!$I:$I,'Leave Records'!$B:$B,$B41,'Leave Records'!$K:$K,"Approved",'Leave Records'!$F:$F,"&gt;="&amp;DATE(Config!$I$7,1,1),'Leave Records'!$F:$F,"&lt;="&amp;EOMONTH(DATE(Config!$I$7,1,1),0)))</f>
        <v>0</v>
      </c>
      <c r="E41" s="9">
        <f>IF($B41="","",SUMIFS('Leave Records'!$I:$I,'Leave Records'!$B:$B,$B41,'Leave Records'!$K:$K,"Approved",'Leave Records'!$F:$F,"&gt;="&amp;DATE(Config!$I$7,2,1),'Leave Records'!$F:$F,"&lt;="&amp;EOMONTH(DATE(Config!$I$7,2,1),0)))</f>
        <v>0</v>
      </c>
      <c r="F41" s="8">
        <f>IF($B41="","",SUMIFS('Leave Records'!$I:$I,'Leave Records'!$B:$B,$B41,'Leave Records'!$K:$K,"Approved",'Leave Records'!$F:$F,"&gt;="&amp;DATE(Config!$I$7,3,1),'Leave Records'!$F:$F,"&lt;="&amp;EOMONTH(DATE(Config!$I$7,3,1),0)))</f>
        <v>0</v>
      </c>
      <c r="G41" s="10">
        <f>IF($B41="","",SUMIFS('Leave Records'!$I:$I,'Leave Records'!$B:$B,$B41,'Leave Records'!$K:$K,"Approved",'Leave Records'!$F:$F,"&gt;="&amp;DATE(Config!$I$7,4,1),'Leave Records'!$F:$F,"&lt;="&amp;EOMONTH(DATE(Config!$I$7,4,1),0)))</f>
        <v>0</v>
      </c>
      <c r="H41" s="10">
        <f>IF($B41="","",SUMIFS('Leave Records'!$I:$I,'Leave Records'!$B:$B,$B41,'Leave Records'!$K:$K,"Approved",'Leave Records'!$F:$F,"&gt;="&amp;DATE(Config!$I$7,5,1),'Leave Records'!$F:$F,"&lt;="&amp;EOMONTH(DATE(Config!$I$7,5,1),0)))</f>
        <v>0</v>
      </c>
      <c r="I41" s="8">
        <f>IF($B41="","",SUMIFS('Leave Records'!$I:$I,'Leave Records'!$B:$B,$B41,'Leave Records'!$K:$K,"Approved",'Leave Records'!$F:$F,"&gt;="&amp;DATE(Config!$I$7,6,1),'Leave Records'!$F:$F,"&lt;="&amp;EOMONTH(DATE(Config!$I$7,6,1),0)))</f>
        <v>0</v>
      </c>
      <c r="J41" s="8">
        <f>IF($B41="","",SUMIFS('Leave Records'!$I:$I,'Leave Records'!$B:$B,$B41,'Leave Records'!$K:$K,"Approved",'Leave Records'!$F:$F,"&gt;="&amp;DATE(Config!$I$7,7,1),'Leave Records'!$F:$F,"&lt;="&amp;EOMONTH(DATE(Config!$I$7,7,1),0)))</f>
        <v>0</v>
      </c>
      <c r="K41" s="9">
        <f>IF($B41="","",SUMIFS('Leave Records'!$I:$I,'Leave Records'!$B:$B,$B41,'Leave Records'!$K:$K,"Approved",'Leave Records'!$F:$F,"&gt;="&amp;DATE(Config!$I$7,8,1),'Leave Records'!$F:$F,"&lt;="&amp;EOMONTH(DATE(Config!$I$7,8,1),0)))</f>
        <v>0</v>
      </c>
      <c r="L41" s="8">
        <f>IF($B41="","",SUMIFS('Leave Records'!$I:$I,'Leave Records'!$B:$B,$B41,'Leave Records'!$K:$K,"Approved",'Leave Records'!$F:$F,"&gt;="&amp;DATE(Config!$I$7,9,1),'Leave Records'!$F:$F,"&lt;="&amp;EOMONTH(DATE(Config!$I$7,9,1),0)))</f>
        <v>0</v>
      </c>
      <c r="M41" s="10">
        <f>IF($B41="","",SUMIFS('Leave Records'!$I:$I,'Leave Records'!$B:$B,$B41,'Leave Records'!$K:$K,"Approved",'Leave Records'!$F:$F,"&gt;="&amp;DATE(Config!$I$7,10,1),'Leave Records'!$F:$F,"&lt;="&amp;EOMONTH(DATE(Config!$I$7,10,1),0)))</f>
        <v>0</v>
      </c>
      <c r="N41" s="10">
        <f>IF($B41="","",SUMIFS('Leave Records'!$I:$I,'Leave Records'!$B:$B,$B41,'Leave Records'!$K:$K,"Approved",'Leave Records'!$F:$F,"&gt;="&amp;DATE(Config!$I$7,11,1),'Leave Records'!$F:$F,"&lt;="&amp;EOMONTH(DATE(Config!$I$7,11,1),0)))</f>
        <v>0</v>
      </c>
      <c r="O41" s="8">
        <f>IF($B41="","",SUMIFS('Leave Records'!$I:$I,'Leave Records'!$B:$B,$B41,'Leave Records'!$K:$K,"Approved",'Leave Records'!$F:$F,"&gt;="&amp;DATE(Config!$I$7,12,1),'Leave Records'!$F:$F,"&lt;="&amp;EOMONTH(DATE(Config!$I$7,12,1),0)))</f>
        <v>0</v>
      </c>
      <c r="P41" s="11">
        <f t="shared" si="1"/>
        <v>0</v>
      </c>
    </row>
    <row r="42" ht="17" customHeight="1" spans="1:16">
      <c r="A42" s="5">
        <f t="shared" si="0"/>
        <v>38</v>
      </c>
      <c r="B42" s="12" t="str">
        <f>IF(Config!$B$44="","",Config!$B$44)</f>
        <v>Md. Mainuddin</v>
      </c>
      <c r="C42" s="13" t="str">
        <f>IF(Config!$B$44="","",Config!$C$44)</f>
        <v/>
      </c>
      <c r="D42" s="9">
        <f>IF($B42="","",SUMIFS('Leave Records'!$I:$I,'Leave Records'!$B:$B,$B42,'Leave Records'!$K:$K,"Approved",'Leave Records'!$F:$F,"&gt;="&amp;DATE(Config!$I$7,1,1),'Leave Records'!$F:$F,"&lt;="&amp;EOMONTH(DATE(Config!$I$7,1,1),0)))</f>
        <v>0</v>
      </c>
      <c r="E42" s="9">
        <f>IF($B42="","",SUMIFS('Leave Records'!$I:$I,'Leave Records'!$B:$B,$B42,'Leave Records'!$K:$K,"Approved",'Leave Records'!$F:$F,"&gt;="&amp;DATE(Config!$I$7,2,1),'Leave Records'!$F:$F,"&lt;="&amp;EOMONTH(DATE(Config!$I$7,2,1),0)))</f>
        <v>0</v>
      </c>
      <c r="F42" s="9">
        <f>IF($B42="","",SUMIFS('Leave Records'!$I:$I,'Leave Records'!$B:$B,$B42,'Leave Records'!$K:$K,"Approved",'Leave Records'!$F:$F,"&gt;="&amp;DATE(Config!$I$7,3,1),'Leave Records'!$F:$F,"&lt;="&amp;EOMONTH(DATE(Config!$I$7,3,1),0)))</f>
        <v>2</v>
      </c>
      <c r="G42" s="9">
        <f>IF($B42="","",SUMIFS('Leave Records'!$I:$I,'Leave Records'!$B:$B,$B42,'Leave Records'!$K:$K,"Approved",'Leave Records'!$F:$F,"&gt;="&amp;DATE(Config!$I$7,4,1),'Leave Records'!$F:$F,"&lt;="&amp;EOMONTH(DATE(Config!$I$7,4,1),0)))</f>
        <v>0</v>
      </c>
      <c r="H42" s="9">
        <f>IF($B42="","",SUMIFS('Leave Records'!$I:$I,'Leave Records'!$B:$B,$B42,'Leave Records'!$K:$K,"Approved",'Leave Records'!$F:$F,"&gt;="&amp;DATE(Config!$I$7,5,1),'Leave Records'!$F:$F,"&lt;="&amp;EOMONTH(DATE(Config!$I$7,5,1),0)))</f>
        <v>0</v>
      </c>
      <c r="I42" s="9">
        <f>IF($B42="","",SUMIFS('Leave Records'!$I:$I,'Leave Records'!$B:$B,$B42,'Leave Records'!$K:$K,"Approved",'Leave Records'!$F:$F,"&gt;="&amp;DATE(Config!$I$7,6,1),'Leave Records'!$F:$F,"&lt;="&amp;EOMONTH(DATE(Config!$I$7,6,1),0)))</f>
        <v>0</v>
      </c>
      <c r="J42" s="9">
        <f>IF($B42="","",SUMIFS('Leave Records'!$I:$I,'Leave Records'!$B:$B,$B42,'Leave Records'!$K:$K,"Approved",'Leave Records'!$F:$F,"&gt;="&amp;DATE(Config!$I$7,7,1),'Leave Records'!$F:$F,"&lt;="&amp;EOMONTH(DATE(Config!$I$7,7,1),0)))</f>
        <v>0</v>
      </c>
      <c r="K42" s="9">
        <f>IF($B42="","",SUMIFS('Leave Records'!$I:$I,'Leave Records'!$B:$B,$B42,'Leave Records'!$K:$K,"Approved",'Leave Records'!$F:$F,"&gt;="&amp;DATE(Config!$I$7,8,1),'Leave Records'!$F:$F,"&lt;="&amp;EOMONTH(DATE(Config!$I$7,8,1),0)))</f>
        <v>0</v>
      </c>
      <c r="L42" s="9">
        <f>IF($B42="","",SUMIFS('Leave Records'!$I:$I,'Leave Records'!$B:$B,$B42,'Leave Records'!$K:$K,"Approved",'Leave Records'!$F:$F,"&gt;="&amp;DATE(Config!$I$7,9,1),'Leave Records'!$F:$F,"&lt;="&amp;EOMONTH(DATE(Config!$I$7,9,1),0)))</f>
        <v>0</v>
      </c>
      <c r="M42" s="9">
        <f>IF($B42="","",SUMIFS('Leave Records'!$I:$I,'Leave Records'!$B:$B,$B42,'Leave Records'!$K:$K,"Approved",'Leave Records'!$F:$F,"&gt;="&amp;DATE(Config!$I$7,10,1),'Leave Records'!$F:$F,"&lt;="&amp;EOMONTH(DATE(Config!$I$7,10,1),0)))</f>
        <v>0</v>
      </c>
      <c r="N42" s="9">
        <f>IF($B42="","",SUMIFS('Leave Records'!$I:$I,'Leave Records'!$B:$B,$B42,'Leave Records'!$K:$K,"Approved",'Leave Records'!$F:$F,"&gt;="&amp;DATE(Config!$I$7,11,1),'Leave Records'!$F:$F,"&lt;="&amp;EOMONTH(DATE(Config!$I$7,11,1),0)))</f>
        <v>0</v>
      </c>
      <c r="O42" s="9">
        <f>IF($B42="","",SUMIFS('Leave Records'!$I:$I,'Leave Records'!$B:$B,$B42,'Leave Records'!$K:$K,"Approved",'Leave Records'!$F:$F,"&gt;="&amp;DATE(Config!$I$7,12,1),'Leave Records'!$F:$F,"&lt;="&amp;EOMONTH(DATE(Config!$I$7,12,1),0)))</f>
        <v>0</v>
      </c>
      <c r="P42" s="14">
        <f t="shared" si="1"/>
        <v>2</v>
      </c>
    </row>
    <row r="43" ht="17" customHeight="1" spans="1:16">
      <c r="A43" s="5">
        <f t="shared" si="0"/>
        <v>39</v>
      </c>
      <c r="B43" s="6" t="str">
        <f>IF(Config!$B$45="","",Config!$B$45)</f>
        <v>Sumaiya Nusrat Pushpo</v>
      </c>
      <c r="C43" s="7" t="str">
        <f>IF(Config!$B$45="","",Config!$C$45)</f>
        <v>Assistant Teacher</v>
      </c>
      <c r="D43" s="8">
        <f>IF($B43="","",SUMIFS('Leave Records'!$I:$I,'Leave Records'!$B:$B,$B43,'Leave Records'!$K:$K,"Approved",'Leave Records'!$F:$F,"&gt;="&amp;DATE(Config!$I$7,1,1),'Leave Records'!$F:$F,"&lt;="&amp;EOMONTH(DATE(Config!$I$7,1,1),0)))</f>
        <v>0</v>
      </c>
      <c r="E43" s="9">
        <f>IF($B43="","",SUMIFS('Leave Records'!$I:$I,'Leave Records'!$B:$B,$B43,'Leave Records'!$K:$K,"Approved",'Leave Records'!$F:$F,"&gt;="&amp;DATE(Config!$I$7,2,1),'Leave Records'!$F:$F,"&lt;="&amp;EOMONTH(DATE(Config!$I$7,2,1),0)))</f>
        <v>0</v>
      </c>
      <c r="F43" s="8">
        <f>IF($B43="","",SUMIFS('Leave Records'!$I:$I,'Leave Records'!$B:$B,$B43,'Leave Records'!$K:$K,"Approved",'Leave Records'!$F:$F,"&gt;="&amp;DATE(Config!$I$7,3,1),'Leave Records'!$F:$F,"&lt;="&amp;EOMONTH(DATE(Config!$I$7,3,1),0)))</f>
        <v>0</v>
      </c>
      <c r="G43" s="10">
        <f>IF($B43="","",SUMIFS('Leave Records'!$I:$I,'Leave Records'!$B:$B,$B43,'Leave Records'!$K:$K,"Approved",'Leave Records'!$F:$F,"&gt;="&amp;DATE(Config!$I$7,4,1),'Leave Records'!$F:$F,"&lt;="&amp;EOMONTH(DATE(Config!$I$7,4,1),0)))</f>
        <v>0</v>
      </c>
      <c r="H43" s="10">
        <f>IF($B43="","",SUMIFS('Leave Records'!$I:$I,'Leave Records'!$B:$B,$B43,'Leave Records'!$K:$K,"Approved",'Leave Records'!$F:$F,"&gt;="&amp;DATE(Config!$I$7,5,1),'Leave Records'!$F:$F,"&lt;="&amp;EOMONTH(DATE(Config!$I$7,5,1),0)))</f>
        <v>4</v>
      </c>
      <c r="I43" s="8">
        <f>IF($B43="","",SUMIFS('Leave Records'!$I:$I,'Leave Records'!$B:$B,$B43,'Leave Records'!$K:$K,"Approved",'Leave Records'!$F:$F,"&gt;="&amp;DATE(Config!$I$7,6,1),'Leave Records'!$F:$F,"&lt;="&amp;EOMONTH(DATE(Config!$I$7,6,1),0)))</f>
        <v>0</v>
      </c>
      <c r="J43" s="8">
        <f>IF($B43="","",SUMIFS('Leave Records'!$I:$I,'Leave Records'!$B:$B,$B43,'Leave Records'!$K:$K,"Approved",'Leave Records'!$F:$F,"&gt;="&amp;DATE(Config!$I$7,7,1),'Leave Records'!$F:$F,"&lt;="&amp;EOMONTH(DATE(Config!$I$7,7,1),0)))</f>
        <v>0</v>
      </c>
      <c r="K43" s="9">
        <f>IF($B43="","",SUMIFS('Leave Records'!$I:$I,'Leave Records'!$B:$B,$B43,'Leave Records'!$K:$K,"Approved",'Leave Records'!$F:$F,"&gt;="&amp;DATE(Config!$I$7,8,1),'Leave Records'!$F:$F,"&lt;="&amp;EOMONTH(DATE(Config!$I$7,8,1),0)))</f>
        <v>0</v>
      </c>
      <c r="L43" s="8">
        <f>IF($B43="","",SUMIFS('Leave Records'!$I:$I,'Leave Records'!$B:$B,$B43,'Leave Records'!$K:$K,"Approved",'Leave Records'!$F:$F,"&gt;="&amp;DATE(Config!$I$7,9,1),'Leave Records'!$F:$F,"&lt;="&amp;EOMONTH(DATE(Config!$I$7,9,1),0)))</f>
        <v>0</v>
      </c>
      <c r="M43" s="10">
        <f>IF($B43="","",SUMIFS('Leave Records'!$I:$I,'Leave Records'!$B:$B,$B43,'Leave Records'!$K:$K,"Approved",'Leave Records'!$F:$F,"&gt;="&amp;DATE(Config!$I$7,10,1),'Leave Records'!$F:$F,"&lt;="&amp;EOMONTH(DATE(Config!$I$7,10,1),0)))</f>
        <v>0</v>
      </c>
      <c r="N43" s="10">
        <f>IF($B43="","",SUMIFS('Leave Records'!$I:$I,'Leave Records'!$B:$B,$B43,'Leave Records'!$K:$K,"Approved",'Leave Records'!$F:$F,"&gt;="&amp;DATE(Config!$I$7,11,1),'Leave Records'!$F:$F,"&lt;="&amp;EOMONTH(DATE(Config!$I$7,11,1),0)))</f>
        <v>0</v>
      </c>
      <c r="O43" s="8">
        <f>IF($B43="","",SUMIFS('Leave Records'!$I:$I,'Leave Records'!$B:$B,$B43,'Leave Records'!$K:$K,"Approved",'Leave Records'!$F:$F,"&gt;="&amp;DATE(Config!$I$7,12,1),'Leave Records'!$F:$F,"&lt;="&amp;EOMONTH(DATE(Config!$I$7,12,1),0)))</f>
        <v>0</v>
      </c>
      <c r="P43" s="11">
        <f t="shared" si="1"/>
        <v>4</v>
      </c>
    </row>
    <row r="44" ht="17" customHeight="1" spans="1:16">
      <c r="A44" s="5">
        <f t="shared" si="0"/>
        <v>40</v>
      </c>
      <c r="B44" s="12" t="str">
        <f>IF(Config!$B$46="","",Config!$B$46)</f>
        <v>Ismat Tasnia</v>
      </c>
      <c r="C44" s="13" t="str">
        <f>IF(Config!$B$46="","",Config!$C$46)</f>
        <v>Assistant Teacher</v>
      </c>
      <c r="D44" s="9">
        <f>IF($B44="","",SUMIFS('Leave Records'!$I:$I,'Leave Records'!$B:$B,$B44,'Leave Records'!$K:$K,"Approved",'Leave Records'!$F:$F,"&gt;="&amp;DATE(Config!$I$7,1,1),'Leave Records'!$F:$F,"&lt;="&amp;EOMONTH(DATE(Config!$I$7,1,1),0)))</f>
        <v>0</v>
      </c>
      <c r="E44" s="9">
        <f>IF($B44="","",SUMIFS('Leave Records'!$I:$I,'Leave Records'!$B:$B,$B44,'Leave Records'!$K:$K,"Approved",'Leave Records'!$F:$F,"&gt;="&amp;DATE(Config!$I$7,2,1),'Leave Records'!$F:$F,"&lt;="&amp;EOMONTH(DATE(Config!$I$7,2,1),0)))</f>
        <v>0</v>
      </c>
      <c r="F44" s="9">
        <f>IF($B44="","",SUMIFS('Leave Records'!$I:$I,'Leave Records'!$B:$B,$B44,'Leave Records'!$K:$K,"Approved",'Leave Records'!$F:$F,"&gt;="&amp;DATE(Config!$I$7,3,1),'Leave Records'!$F:$F,"&lt;="&amp;EOMONTH(DATE(Config!$I$7,3,1),0)))</f>
        <v>0</v>
      </c>
      <c r="G44" s="9">
        <f>IF($B44="","",SUMIFS('Leave Records'!$I:$I,'Leave Records'!$B:$B,$B44,'Leave Records'!$K:$K,"Approved",'Leave Records'!$F:$F,"&gt;="&amp;DATE(Config!$I$7,4,1),'Leave Records'!$F:$F,"&lt;="&amp;EOMONTH(DATE(Config!$I$7,4,1),0)))</f>
        <v>0</v>
      </c>
      <c r="H44" s="9">
        <f>IF($B44="","",SUMIFS('Leave Records'!$I:$I,'Leave Records'!$B:$B,$B44,'Leave Records'!$K:$K,"Approved",'Leave Records'!$F:$F,"&gt;="&amp;DATE(Config!$I$7,5,1),'Leave Records'!$F:$F,"&lt;="&amp;EOMONTH(DATE(Config!$I$7,5,1),0)))</f>
        <v>1</v>
      </c>
      <c r="I44" s="9">
        <f>IF($B44="","",SUMIFS('Leave Records'!$I:$I,'Leave Records'!$B:$B,$B44,'Leave Records'!$K:$K,"Approved",'Leave Records'!$F:$F,"&gt;="&amp;DATE(Config!$I$7,6,1),'Leave Records'!$F:$F,"&lt;="&amp;EOMONTH(DATE(Config!$I$7,6,1),0)))</f>
        <v>0</v>
      </c>
      <c r="J44" s="9">
        <f>IF($B44="","",SUMIFS('Leave Records'!$I:$I,'Leave Records'!$B:$B,$B44,'Leave Records'!$K:$K,"Approved",'Leave Records'!$F:$F,"&gt;="&amp;DATE(Config!$I$7,7,1),'Leave Records'!$F:$F,"&lt;="&amp;EOMONTH(DATE(Config!$I$7,7,1),0)))</f>
        <v>0</v>
      </c>
      <c r="K44" s="9">
        <f>IF($B44="","",SUMIFS('Leave Records'!$I:$I,'Leave Records'!$B:$B,$B44,'Leave Records'!$K:$K,"Approved",'Leave Records'!$F:$F,"&gt;="&amp;DATE(Config!$I$7,8,1),'Leave Records'!$F:$F,"&lt;="&amp;EOMONTH(DATE(Config!$I$7,8,1),0)))</f>
        <v>0</v>
      </c>
      <c r="L44" s="9">
        <f>IF($B44="","",SUMIFS('Leave Records'!$I:$I,'Leave Records'!$B:$B,$B44,'Leave Records'!$K:$K,"Approved",'Leave Records'!$F:$F,"&gt;="&amp;DATE(Config!$I$7,9,1),'Leave Records'!$F:$F,"&lt;="&amp;EOMONTH(DATE(Config!$I$7,9,1),0)))</f>
        <v>0</v>
      </c>
      <c r="M44" s="9">
        <f>IF($B44="","",SUMIFS('Leave Records'!$I:$I,'Leave Records'!$B:$B,$B44,'Leave Records'!$K:$K,"Approved",'Leave Records'!$F:$F,"&gt;="&amp;DATE(Config!$I$7,10,1),'Leave Records'!$F:$F,"&lt;="&amp;EOMONTH(DATE(Config!$I$7,10,1),0)))</f>
        <v>0</v>
      </c>
      <c r="N44" s="9">
        <f>IF($B44="","",SUMIFS('Leave Records'!$I:$I,'Leave Records'!$B:$B,$B44,'Leave Records'!$K:$K,"Approved",'Leave Records'!$F:$F,"&gt;="&amp;DATE(Config!$I$7,11,1),'Leave Records'!$F:$F,"&lt;="&amp;EOMONTH(DATE(Config!$I$7,11,1),0)))</f>
        <v>0</v>
      </c>
      <c r="O44" s="9">
        <f>IF($B44="","",SUMIFS('Leave Records'!$I:$I,'Leave Records'!$B:$B,$B44,'Leave Records'!$K:$K,"Approved",'Leave Records'!$F:$F,"&gt;="&amp;DATE(Config!$I$7,12,1),'Leave Records'!$F:$F,"&lt;="&amp;EOMONTH(DATE(Config!$I$7,12,1),0)))</f>
        <v>0</v>
      </c>
      <c r="P44" s="14">
        <f t="shared" si="1"/>
        <v>1</v>
      </c>
    </row>
    <row r="45" ht="17" customHeight="1" spans="1:16">
      <c r="A45" s="5">
        <f t="shared" si="0"/>
        <v>41</v>
      </c>
      <c r="B45" s="6" t="str">
        <f>IF(Config!$B$47="","",Config!$B$47)</f>
        <v>Ayesha Siddika Ruba</v>
      </c>
      <c r="C45" s="7" t="str">
        <f>IF(Config!$B$47="","",Config!$C$47)</f>
        <v>Subject Teacher</v>
      </c>
      <c r="D45" s="8">
        <f>IF($B45="","",SUMIFS('Leave Records'!$I:$I,'Leave Records'!$B:$B,$B45,'Leave Records'!$K:$K,"Approved",'Leave Records'!$F:$F,"&gt;="&amp;DATE(Config!$I$7,1,1),'Leave Records'!$F:$F,"&lt;="&amp;EOMONTH(DATE(Config!$I$7,1,1),0)))</f>
        <v>0</v>
      </c>
      <c r="E45" s="9">
        <f>IF($B45="","",SUMIFS('Leave Records'!$I:$I,'Leave Records'!$B:$B,$B45,'Leave Records'!$K:$K,"Approved",'Leave Records'!$F:$F,"&gt;="&amp;DATE(Config!$I$7,2,1),'Leave Records'!$F:$F,"&lt;="&amp;EOMONTH(DATE(Config!$I$7,2,1),0)))</f>
        <v>0</v>
      </c>
      <c r="F45" s="8">
        <f>IF($B45="","",SUMIFS('Leave Records'!$I:$I,'Leave Records'!$B:$B,$B45,'Leave Records'!$K:$K,"Approved",'Leave Records'!$F:$F,"&gt;="&amp;DATE(Config!$I$7,3,1),'Leave Records'!$F:$F,"&lt;="&amp;EOMONTH(DATE(Config!$I$7,3,1),0)))</f>
        <v>0</v>
      </c>
      <c r="G45" s="10">
        <f>IF($B45="","",SUMIFS('Leave Records'!$I:$I,'Leave Records'!$B:$B,$B45,'Leave Records'!$K:$K,"Approved",'Leave Records'!$F:$F,"&gt;="&amp;DATE(Config!$I$7,4,1),'Leave Records'!$F:$F,"&lt;="&amp;EOMONTH(DATE(Config!$I$7,4,1),0)))</f>
        <v>4</v>
      </c>
      <c r="H45" s="10">
        <f>IF($B45="","",SUMIFS('Leave Records'!$I:$I,'Leave Records'!$B:$B,$B45,'Leave Records'!$K:$K,"Approved",'Leave Records'!$F:$F,"&gt;="&amp;DATE(Config!$I$7,5,1),'Leave Records'!$F:$F,"&lt;="&amp;EOMONTH(DATE(Config!$I$7,5,1),0)))</f>
        <v>0</v>
      </c>
      <c r="I45" s="8">
        <f>IF($B45="","",SUMIFS('Leave Records'!$I:$I,'Leave Records'!$B:$B,$B45,'Leave Records'!$K:$K,"Approved",'Leave Records'!$F:$F,"&gt;="&amp;DATE(Config!$I$7,6,1),'Leave Records'!$F:$F,"&lt;="&amp;EOMONTH(DATE(Config!$I$7,6,1),0)))</f>
        <v>0</v>
      </c>
      <c r="J45" s="8">
        <f>IF($B45="","",SUMIFS('Leave Records'!$I:$I,'Leave Records'!$B:$B,$B45,'Leave Records'!$K:$K,"Approved",'Leave Records'!$F:$F,"&gt;="&amp;DATE(Config!$I$7,7,1),'Leave Records'!$F:$F,"&lt;="&amp;EOMONTH(DATE(Config!$I$7,7,1),0)))</f>
        <v>0</v>
      </c>
      <c r="K45" s="9">
        <f>IF($B45="","",SUMIFS('Leave Records'!$I:$I,'Leave Records'!$B:$B,$B45,'Leave Records'!$K:$K,"Approved",'Leave Records'!$F:$F,"&gt;="&amp;DATE(Config!$I$7,8,1),'Leave Records'!$F:$F,"&lt;="&amp;EOMONTH(DATE(Config!$I$7,8,1),0)))</f>
        <v>0</v>
      </c>
      <c r="L45" s="8">
        <f>IF($B45="","",SUMIFS('Leave Records'!$I:$I,'Leave Records'!$B:$B,$B45,'Leave Records'!$K:$K,"Approved",'Leave Records'!$F:$F,"&gt;="&amp;DATE(Config!$I$7,9,1),'Leave Records'!$F:$F,"&lt;="&amp;EOMONTH(DATE(Config!$I$7,9,1),0)))</f>
        <v>0</v>
      </c>
      <c r="M45" s="10">
        <f>IF($B45="","",SUMIFS('Leave Records'!$I:$I,'Leave Records'!$B:$B,$B45,'Leave Records'!$K:$K,"Approved",'Leave Records'!$F:$F,"&gt;="&amp;DATE(Config!$I$7,10,1),'Leave Records'!$F:$F,"&lt;="&amp;EOMONTH(DATE(Config!$I$7,10,1),0)))</f>
        <v>0</v>
      </c>
      <c r="N45" s="10">
        <f>IF($B45="","",SUMIFS('Leave Records'!$I:$I,'Leave Records'!$B:$B,$B45,'Leave Records'!$K:$K,"Approved",'Leave Records'!$F:$F,"&gt;="&amp;DATE(Config!$I$7,11,1),'Leave Records'!$F:$F,"&lt;="&amp;EOMONTH(DATE(Config!$I$7,11,1),0)))</f>
        <v>0</v>
      </c>
      <c r="O45" s="8">
        <f>IF($B45="","",SUMIFS('Leave Records'!$I:$I,'Leave Records'!$B:$B,$B45,'Leave Records'!$K:$K,"Approved",'Leave Records'!$F:$F,"&gt;="&amp;DATE(Config!$I$7,12,1),'Leave Records'!$F:$F,"&lt;="&amp;EOMONTH(DATE(Config!$I$7,12,1),0)))</f>
        <v>0</v>
      </c>
      <c r="P45" s="11">
        <f t="shared" si="1"/>
        <v>4</v>
      </c>
    </row>
    <row r="46" ht="17" customHeight="1" spans="1:16">
      <c r="A46" s="5">
        <f t="shared" si="0"/>
        <v>42</v>
      </c>
      <c r="B46" s="12" t="str">
        <f>IF(Config!$B$48="","",Config!$B$48)</f>
        <v>Jannatur Rahman</v>
      </c>
      <c r="C46" s="13" t="str">
        <f>IF(Config!$B$48="","",Config!$C$48)</f>
        <v/>
      </c>
      <c r="D46" s="9">
        <f>IF($B46="","",SUMIFS('Leave Records'!$I:$I,'Leave Records'!$B:$B,$B46,'Leave Records'!$K:$K,"Approved",'Leave Records'!$F:$F,"&gt;="&amp;DATE(Config!$I$7,1,1),'Leave Records'!$F:$F,"&lt;="&amp;EOMONTH(DATE(Config!$I$7,1,1),0)))</f>
        <v>0</v>
      </c>
      <c r="E46" s="9">
        <f>IF($B46="","",SUMIFS('Leave Records'!$I:$I,'Leave Records'!$B:$B,$B46,'Leave Records'!$K:$K,"Approved",'Leave Records'!$F:$F,"&gt;="&amp;DATE(Config!$I$7,2,1),'Leave Records'!$F:$F,"&lt;="&amp;EOMONTH(DATE(Config!$I$7,2,1),0)))</f>
        <v>0</v>
      </c>
      <c r="F46" s="9">
        <f>IF($B46="","",SUMIFS('Leave Records'!$I:$I,'Leave Records'!$B:$B,$B46,'Leave Records'!$K:$K,"Approved",'Leave Records'!$F:$F,"&gt;="&amp;DATE(Config!$I$7,3,1),'Leave Records'!$F:$F,"&lt;="&amp;EOMONTH(DATE(Config!$I$7,3,1),0)))</f>
        <v>1</v>
      </c>
      <c r="G46" s="9">
        <f>IF($B46="","",SUMIFS('Leave Records'!$I:$I,'Leave Records'!$B:$B,$B46,'Leave Records'!$K:$K,"Approved",'Leave Records'!$F:$F,"&gt;="&amp;DATE(Config!$I$7,4,1),'Leave Records'!$F:$F,"&lt;="&amp;EOMONTH(DATE(Config!$I$7,4,1),0)))</f>
        <v>0</v>
      </c>
      <c r="H46" s="9">
        <f>IF($B46="","",SUMIFS('Leave Records'!$I:$I,'Leave Records'!$B:$B,$B46,'Leave Records'!$K:$K,"Approved",'Leave Records'!$F:$F,"&gt;="&amp;DATE(Config!$I$7,5,1),'Leave Records'!$F:$F,"&lt;="&amp;EOMONTH(DATE(Config!$I$7,5,1),0)))</f>
        <v>0</v>
      </c>
      <c r="I46" s="9">
        <f>IF($B46="","",SUMIFS('Leave Records'!$I:$I,'Leave Records'!$B:$B,$B46,'Leave Records'!$K:$K,"Approved",'Leave Records'!$F:$F,"&gt;="&amp;DATE(Config!$I$7,6,1),'Leave Records'!$F:$F,"&lt;="&amp;EOMONTH(DATE(Config!$I$7,6,1),0)))</f>
        <v>0</v>
      </c>
      <c r="J46" s="9">
        <f>IF($B46="","",SUMIFS('Leave Records'!$I:$I,'Leave Records'!$B:$B,$B46,'Leave Records'!$K:$K,"Approved",'Leave Records'!$F:$F,"&gt;="&amp;DATE(Config!$I$7,7,1),'Leave Records'!$F:$F,"&lt;="&amp;EOMONTH(DATE(Config!$I$7,7,1),0)))</f>
        <v>0</v>
      </c>
      <c r="K46" s="9">
        <f>IF($B46="","",SUMIFS('Leave Records'!$I:$I,'Leave Records'!$B:$B,$B46,'Leave Records'!$K:$K,"Approved",'Leave Records'!$F:$F,"&gt;="&amp;DATE(Config!$I$7,8,1),'Leave Records'!$F:$F,"&lt;="&amp;EOMONTH(DATE(Config!$I$7,8,1),0)))</f>
        <v>0</v>
      </c>
      <c r="L46" s="9">
        <f>IF($B46="","",SUMIFS('Leave Records'!$I:$I,'Leave Records'!$B:$B,$B46,'Leave Records'!$K:$K,"Approved",'Leave Records'!$F:$F,"&gt;="&amp;DATE(Config!$I$7,9,1),'Leave Records'!$F:$F,"&lt;="&amp;EOMONTH(DATE(Config!$I$7,9,1),0)))</f>
        <v>0</v>
      </c>
      <c r="M46" s="9">
        <f>IF($B46="","",SUMIFS('Leave Records'!$I:$I,'Leave Records'!$B:$B,$B46,'Leave Records'!$K:$K,"Approved",'Leave Records'!$F:$F,"&gt;="&amp;DATE(Config!$I$7,10,1),'Leave Records'!$F:$F,"&lt;="&amp;EOMONTH(DATE(Config!$I$7,10,1),0)))</f>
        <v>0</v>
      </c>
      <c r="N46" s="9">
        <f>IF($B46="","",SUMIFS('Leave Records'!$I:$I,'Leave Records'!$B:$B,$B46,'Leave Records'!$K:$K,"Approved",'Leave Records'!$F:$F,"&gt;="&amp;DATE(Config!$I$7,11,1),'Leave Records'!$F:$F,"&lt;="&amp;EOMONTH(DATE(Config!$I$7,11,1),0)))</f>
        <v>0</v>
      </c>
      <c r="O46" s="9">
        <f>IF($B46="","",SUMIFS('Leave Records'!$I:$I,'Leave Records'!$B:$B,$B46,'Leave Records'!$K:$K,"Approved",'Leave Records'!$F:$F,"&gt;="&amp;DATE(Config!$I$7,12,1),'Leave Records'!$F:$F,"&lt;="&amp;EOMONTH(DATE(Config!$I$7,12,1),0)))</f>
        <v>0</v>
      </c>
      <c r="P46" s="14">
        <f t="shared" si="1"/>
        <v>1</v>
      </c>
    </row>
    <row r="47" ht="17" customHeight="1" spans="1:16">
      <c r="A47" s="5">
        <f t="shared" si="0"/>
        <v>43</v>
      </c>
      <c r="B47" s="6" t="str">
        <f>IF(Config!$B$49="","",Config!$B$49)</f>
        <v>Sultana Yasmin Geeti</v>
      </c>
      <c r="C47" s="7" t="str">
        <f>IF(Config!$B$49="","",Config!$C$49)</f>
        <v/>
      </c>
      <c r="D47" s="8">
        <f>IF($B47="","",SUMIFS('Leave Records'!$I:$I,'Leave Records'!$B:$B,$B47,'Leave Records'!$K:$K,"Approved",'Leave Records'!$F:$F,"&gt;="&amp;DATE(Config!$I$7,1,1),'Leave Records'!$F:$F,"&lt;="&amp;EOMONTH(DATE(Config!$I$7,1,1),0)))</f>
        <v>0</v>
      </c>
      <c r="E47" s="9">
        <f>IF($B47="","",SUMIFS('Leave Records'!$I:$I,'Leave Records'!$B:$B,$B47,'Leave Records'!$K:$K,"Approved",'Leave Records'!$F:$F,"&gt;="&amp;DATE(Config!$I$7,2,1),'Leave Records'!$F:$F,"&lt;="&amp;EOMONTH(DATE(Config!$I$7,2,1),0)))</f>
        <v>0</v>
      </c>
      <c r="F47" s="8">
        <f>IF($B47="","",SUMIFS('Leave Records'!$I:$I,'Leave Records'!$B:$B,$B47,'Leave Records'!$K:$K,"Approved",'Leave Records'!$F:$F,"&gt;="&amp;DATE(Config!$I$7,3,1),'Leave Records'!$F:$F,"&lt;="&amp;EOMONTH(DATE(Config!$I$7,3,1),0)))</f>
        <v>0</v>
      </c>
      <c r="G47" s="10">
        <f>IF($B47="","",SUMIFS('Leave Records'!$I:$I,'Leave Records'!$B:$B,$B47,'Leave Records'!$K:$K,"Approved",'Leave Records'!$F:$F,"&gt;="&amp;DATE(Config!$I$7,4,1),'Leave Records'!$F:$F,"&lt;="&amp;EOMONTH(DATE(Config!$I$7,4,1),0)))</f>
        <v>0</v>
      </c>
      <c r="H47" s="10">
        <f>IF($B47="","",SUMIFS('Leave Records'!$I:$I,'Leave Records'!$B:$B,$B47,'Leave Records'!$K:$K,"Approved",'Leave Records'!$F:$F,"&gt;="&amp;DATE(Config!$I$7,5,1),'Leave Records'!$F:$F,"&lt;="&amp;EOMONTH(DATE(Config!$I$7,5,1),0)))</f>
        <v>1</v>
      </c>
      <c r="I47" s="8">
        <f>IF($B47="","",SUMIFS('Leave Records'!$I:$I,'Leave Records'!$B:$B,$B47,'Leave Records'!$K:$K,"Approved",'Leave Records'!$F:$F,"&gt;="&amp;DATE(Config!$I$7,6,1),'Leave Records'!$F:$F,"&lt;="&amp;EOMONTH(DATE(Config!$I$7,6,1),0)))</f>
        <v>0</v>
      </c>
      <c r="J47" s="8">
        <f>IF($B47="","",SUMIFS('Leave Records'!$I:$I,'Leave Records'!$B:$B,$B47,'Leave Records'!$K:$K,"Approved",'Leave Records'!$F:$F,"&gt;="&amp;DATE(Config!$I$7,7,1),'Leave Records'!$F:$F,"&lt;="&amp;EOMONTH(DATE(Config!$I$7,7,1),0)))</f>
        <v>0</v>
      </c>
      <c r="K47" s="9">
        <f>IF($B47="","",SUMIFS('Leave Records'!$I:$I,'Leave Records'!$B:$B,$B47,'Leave Records'!$K:$K,"Approved",'Leave Records'!$F:$F,"&gt;="&amp;DATE(Config!$I$7,8,1),'Leave Records'!$F:$F,"&lt;="&amp;EOMONTH(DATE(Config!$I$7,8,1),0)))</f>
        <v>0</v>
      </c>
      <c r="L47" s="8">
        <f>IF($B47="","",SUMIFS('Leave Records'!$I:$I,'Leave Records'!$B:$B,$B47,'Leave Records'!$K:$K,"Approved",'Leave Records'!$F:$F,"&gt;="&amp;DATE(Config!$I$7,9,1),'Leave Records'!$F:$F,"&lt;="&amp;EOMONTH(DATE(Config!$I$7,9,1),0)))</f>
        <v>0</v>
      </c>
      <c r="M47" s="10">
        <f>IF($B47="","",SUMIFS('Leave Records'!$I:$I,'Leave Records'!$B:$B,$B47,'Leave Records'!$K:$K,"Approved",'Leave Records'!$F:$F,"&gt;="&amp;DATE(Config!$I$7,10,1),'Leave Records'!$F:$F,"&lt;="&amp;EOMONTH(DATE(Config!$I$7,10,1),0)))</f>
        <v>0</v>
      </c>
      <c r="N47" s="10">
        <f>IF($B47="","",SUMIFS('Leave Records'!$I:$I,'Leave Records'!$B:$B,$B47,'Leave Records'!$K:$K,"Approved",'Leave Records'!$F:$F,"&gt;="&amp;DATE(Config!$I$7,11,1),'Leave Records'!$F:$F,"&lt;="&amp;EOMONTH(DATE(Config!$I$7,11,1),0)))</f>
        <v>0</v>
      </c>
      <c r="O47" s="8">
        <f>IF($B47="","",SUMIFS('Leave Records'!$I:$I,'Leave Records'!$B:$B,$B47,'Leave Records'!$K:$K,"Approved",'Leave Records'!$F:$F,"&gt;="&amp;DATE(Config!$I$7,12,1),'Leave Records'!$F:$F,"&lt;="&amp;EOMONTH(DATE(Config!$I$7,12,1),0)))</f>
        <v>0</v>
      </c>
      <c r="P47" s="11">
        <f t="shared" si="1"/>
        <v>1</v>
      </c>
    </row>
    <row r="48" ht="17" customHeight="1" spans="1:16">
      <c r="A48" s="5">
        <f t="shared" si="0"/>
        <v>44</v>
      </c>
      <c r="B48" s="12" t="str">
        <f>IF(Config!$B$50="","",Config!$B$50)</f>
        <v>Shaila Parvin</v>
      </c>
      <c r="C48" s="13" t="str">
        <f>IF(Config!$B$50="","",Config!$C$50)</f>
        <v/>
      </c>
      <c r="D48" s="9">
        <f>IF($B48="","",SUMIFS('Leave Records'!$I:$I,'Leave Records'!$B:$B,$B48,'Leave Records'!$K:$K,"Approved",'Leave Records'!$F:$F,"&gt;="&amp;DATE(Config!$I$7,1,1),'Leave Records'!$F:$F,"&lt;="&amp;EOMONTH(DATE(Config!$I$7,1,1),0)))</f>
        <v>0</v>
      </c>
      <c r="E48" s="9">
        <f>IF($B48="","",SUMIFS('Leave Records'!$I:$I,'Leave Records'!$B:$B,$B48,'Leave Records'!$K:$K,"Approved",'Leave Records'!$F:$F,"&gt;="&amp;DATE(Config!$I$7,2,1),'Leave Records'!$F:$F,"&lt;="&amp;EOMONTH(DATE(Config!$I$7,2,1),0)))</f>
        <v>0</v>
      </c>
      <c r="F48" s="9">
        <f>IF($B48="","",SUMIFS('Leave Records'!$I:$I,'Leave Records'!$B:$B,$B48,'Leave Records'!$K:$K,"Approved",'Leave Records'!$F:$F,"&gt;="&amp;DATE(Config!$I$7,3,1),'Leave Records'!$F:$F,"&lt;="&amp;EOMONTH(DATE(Config!$I$7,3,1),0)))</f>
        <v>1</v>
      </c>
      <c r="G48" s="9">
        <f>IF($B48="","",SUMIFS('Leave Records'!$I:$I,'Leave Records'!$B:$B,$B48,'Leave Records'!$K:$K,"Approved",'Leave Records'!$F:$F,"&gt;="&amp;DATE(Config!$I$7,4,1),'Leave Records'!$F:$F,"&lt;="&amp;EOMONTH(DATE(Config!$I$7,4,1),0)))</f>
        <v>0</v>
      </c>
      <c r="H48" s="9">
        <f>IF($B48="","",SUMIFS('Leave Records'!$I:$I,'Leave Records'!$B:$B,$B48,'Leave Records'!$K:$K,"Approved",'Leave Records'!$F:$F,"&gt;="&amp;DATE(Config!$I$7,5,1),'Leave Records'!$F:$F,"&lt;="&amp;EOMONTH(DATE(Config!$I$7,5,1),0)))</f>
        <v>0</v>
      </c>
      <c r="I48" s="9">
        <f>IF($B48="","",SUMIFS('Leave Records'!$I:$I,'Leave Records'!$B:$B,$B48,'Leave Records'!$K:$K,"Approved",'Leave Records'!$F:$F,"&gt;="&amp;DATE(Config!$I$7,6,1),'Leave Records'!$F:$F,"&lt;="&amp;EOMONTH(DATE(Config!$I$7,6,1),0)))</f>
        <v>0</v>
      </c>
      <c r="J48" s="9">
        <f>IF($B48="","",SUMIFS('Leave Records'!$I:$I,'Leave Records'!$B:$B,$B48,'Leave Records'!$K:$K,"Approved",'Leave Records'!$F:$F,"&gt;="&amp;DATE(Config!$I$7,7,1),'Leave Records'!$F:$F,"&lt;="&amp;EOMONTH(DATE(Config!$I$7,7,1),0)))</f>
        <v>0</v>
      </c>
      <c r="K48" s="9">
        <f>IF($B48="","",SUMIFS('Leave Records'!$I:$I,'Leave Records'!$B:$B,$B48,'Leave Records'!$K:$K,"Approved",'Leave Records'!$F:$F,"&gt;="&amp;DATE(Config!$I$7,8,1),'Leave Records'!$F:$F,"&lt;="&amp;EOMONTH(DATE(Config!$I$7,8,1),0)))</f>
        <v>0</v>
      </c>
      <c r="L48" s="9">
        <f>IF($B48="","",SUMIFS('Leave Records'!$I:$I,'Leave Records'!$B:$B,$B48,'Leave Records'!$K:$K,"Approved",'Leave Records'!$F:$F,"&gt;="&amp;DATE(Config!$I$7,9,1),'Leave Records'!$F:$F,"&lt;="&amp;EOMONTH(DATE(Config!$I$7,9,1),0)))</f>
        <v>0</v>
      </c>
      <c r="M48" s="9">
        <f>IF($B48="","",SUMIFS('Leave Records'!$I:$I,'Leave Records'!$B:$B,$B48,'Leave Records'!$K:$K,"Approved",'Leave Records'!$F:$F,"&gt;="&amp;DATE(Config!$I$7,10,1),'Leave Records'!$F:$F,"&lt;="&amp;EOMONTH(DATE(Config!$I$7,10,1),0)))</f>
        <v>0</v>
      </c>
      <c r="N48" s="9">
        <f>IF($B48="","",SUMIFS('Leave Records'!$I:$I,'Leave Records'!$B:$B,$B48,'Leave Records'!$K:$K,"Approved",'Leave Records'!$F:$F,"&gt;="&amp;DATE(Config!$I$7,11,1),'Leave Records'!$F:$F,"&lt;="&amp;EOMONTH(DATE(Config!$I$7,11,1),0)))</f>
        <v>0</v>
      </c>
      <c r="O48" s="9">
        <f>IF($B48="","",SUMIFS('Leave Records'!$I:$I,'Leave Records'!$B:$B,$B48,'Leave Records'!$K:$K,"Approved",'Leave Records'!$F:$F,"&gt;="&amp;DATE(Config!$I$7,12,1),'Leave Records'!$F:$F,"&lt;="&amp;EOMONTH(DATE(Config!$I$7,12,1),0)))</f>
        <v>0</v>
      </c>
      <c r="P48" s="14">
        <f t="shared" si="1"/>
        <v>1</v>
      </c>
    </row>
    <row r="49" ht="17" customHeight="1" spans="1:16">
      <c r="A49" s="5">
        <f t="shared" si="0"/>
        <v>45</v>
      </c>
      <c r="B49" s="6" t="str">
        <f>IF(Config!$B$51="","",Config!$B$51)</f>
        <v>Ashik Bhuiyan</v>
      </c>
      <c r="C49" s="7" t="str">
        <f>IF(Config!$B$51="","",Config!$C$51)</f>
        <v/>
      </c>
      <c r="D49" s="8">
        <f>IF($B49="","",SUMIFS('Leave Records'!$I:$I,'Leave Records'!$B:$B,$B49,'Leave Records'!$K:$K,"Approved",'Leave Records'!$F:$F,"&gt;="&amp;DATE(Config!$I$7,1,1),'Leave Records'!$F:$F,"&lt;="&amp;EOMONTH(DATE(Config!$I$7,1,1),0)))</f>
        <v>0</v>
      </c>
      <c r="E49" s="9">
        <f>IF($B49="","",SUMIFS('Leave Records'!$I:$I,'Leave Records'!$B:$B,$B49,'Leave Records'!$K:$K,"Approved",'Leave Records'!$F:$F,"&gt;="&amp;DATE(Config!$I$7,2,1),'Leave Records'!$F:$F,"&lt;="&amp;EOMONTH(DATE(Config!$I$7,2,1),0)))</f>
        <v>0</v>
      </c>
      <c r="F49" s="8">
        <f>IF($B49="","",SUMIFS('Leave Records'!$I:$I,'Leave Records'!$B:$B,$B49,'Leave Records'!$K:$K,"Approved",'Leave Records'!$F:$F,"&gt;="&amp;DATE(Config!$I$7,3,1),'Leave Records'!$F:$F,"&lt;="&amp;EOMONTH(DATE(Config!$I$7,3,1),0)))</f>
        <v>0</v>
      </c>
      <c r="G49" s="10">
        <f>IF($B49="","",SUMIFS('Leave Records'!$I:$I,'Leave Records'!$B:$B,$B49,'Leave Records'!$K:$K,"Approved",'Leave Records'!$F:$F,"&gt;="&amp;DATE(Config!$I$7,4,1),'Leave Records'!$F:$F,"&lt;="&amp;EOMONTH(DATE(Config!$I$7,4,1),0)))</f>
        <v>0</v>
      </c>
      <c r="H49" s="10">
        <f>IF($B49="","",SUMIFS('Leave Records'!$I:$I,'Leave Records'!$B:$B,$B49,'Leave Records'!$K:$K,"Approved",'Leave Records'!$F:$F,"&gt;="&amp;DATE(Config!$I$7,5,1),'Leave Records'!$F:$F,"&lt;="&amp;EOMONTH(DATE(Config!$I$7,5,1),0)))</f>
        <v>0</v>
      </c>
      <c r="I49" s="8">
        <f>IF($B49="","",SUMIFS('Leave Records'!$I:$I,'Leave Records'!$B:$B,$B49,'Leave Records'!$K:$K,"Approved",'Leave Records'!$F:$F,"&gt;="&amp;DATE(Config!$I$7,6,1),'Leave Records'!$F:$F,"&lt;="&amp;EOMONTH(DATE(Config!$I$7,6,1),0)))</f>
        <v>0</v>
      </c>
      <c r="J49" s="8">
        <f>IF($B49="","",SUMIFS('Leave Records'!$I:$I,'Leave Records'!$B:$B,$B49,'Leave Records'!$K:$K,"Approved",'Leave Records'!$F:$F,"&gt;="&amp;DATE(Config!$I$7,7,1),'Leave Records'!$F:$F,"&lt;="&amp;EOMONTH(DATE(Config!$I$7,7,1),0)))</f>
        <v>0</v>
      </c>
      <c r="K49" s="9">
        <f>IF($B49="","",SUMIFS('Leave Records'!$I:$I,'Leave Records'!$B:$B,$B49,'Leave Records'!$K:$K,"Approved",'Leave Records'!$F:$F,"&gt;="&amp;DATE(Config!$I$7,8,1),'Leave Records'!$F:$F,"&lt;="&amp;EOMONTH(DATE(Config!$I$7,8,1),0)))</f>
        <v>0</v>
      </c>
      <c r="L49" s="8">
        <f>IF($B49="","",SUMIFS('Leave Records'!$I:$I,'Leave Records'!$B:$B,$B49,'Leave Records'!$K:$K,"Approved",'Leave Records'!$F:$F,"&gt;="&amp;DATE(Config!$I$7,9,1),'Leave Records'!$F:$F,"&lt;="&amp;EOMONTH(DATE(Config!$I$7,9,1),0)))</f>
        <v>0</v>
      </c>
      <c r="M49" s="10">
        <f>IF($B49="","",SUMIFS('Leave Records'!$I:$I,'Leave Records'!$B:$B,$B49,'Leave Records'!$K:$K,"Approved",'Leave Records'!$F:$F,"&gt;="&amp;DATE(Config!$I$7,10,1),'Leave Records'!$F:$F,"&lt;="&amp;EOMONTH(DATE(Config!$I$7,10,1),0)))</f>
        <v>0</v>
      </c>
      <c r="N49" s="10">
        <f>IF($B49="","",SUMIFS('Leave Records'!$I:$I,'Leave Records'!$B:$B,$B49,'Leave Records'!$K:$K,"Approved",'Leave Records'!$F:$F,"&gt;="&amp;DATE(Config!$I$7,11,1),'Leave Records'!$F:$F,"&lt;="&amp;EOMONTH(DATE(Config!$I$7,11,1),0)))</f>
        <v>0</v>
      </c>
      <c r="O49" s="8">
        <f>IF($B49="","",SUMIFS('Leave Records'!$I:$I,'Leave Records'!$B:$B,$B49,'Leave Records'!$K:$K,"Approved",'Leave Records'!$F:$F,"&gt;="&amp;DATE(Config!$I$7,12,1),'Leave Records'!$F:$F,"&lt;="&amp;EOMONTH(DATE(Config!$I$7,12,1),0)))</f>
        <v>0</v>
      </c>
      <c r="P49" s="11">
        <f t="shared" si="1"/>
        <v>0</v>
      </c>
    </row>
    <row r="50" ht="17" customHeight="1" spans="1:16">
      <c r="A50" s="5">
        <f t="shared" si="0"/>
        <v>46</v>
      </c>
      <c r="B50" s="12" t="str">
        <f>IF(Config!$B$52="","",Config!$B$52)</f>
        <v>Md Helal Uddin</v>
      </c>
      <c r="C50" s="13" t="str">
        <f>IF(Config!$B$52="","",Config!$C$52)</f>
        <v/>
      </c>
      <c r="D50" s="9">
        <f>IF($B50="","",SUMIFS('Leave Records'!$I:$I,'Leave Records'!$B:$B,$B50,'Leave Records'!$K:$K,"Approved",'Leave Records'!$F:$F,"&gt;="&amp;DATE(Config!$I$7,1,1),'Leave Records'!$F:$F,"&lt;="&amp;EOMONTH(DATE(Config!$I$7,1,1),0)))</f>
        <v>0</v>
      </c>
      <c r="E50" s="9">
        <f>IF($B50="","",SUMIFS('Leave Records'!$I:$I,'Leave Records'!$B:$B,$B50,'Leave Records'!$K:$K,"Approved",'Leave Records'!$F:$F,"&gt;="&amp;DATE(Config!$I$7,2,1),'Leave Records'!$F:$F,"&lt;="&amp;EOMONTH(DATE(Config!$I$7,2,1),0)))</f>
        <v>0</v>
      </c>
      <c r="F50" s="9">
        <f>IF($B50="","",SUMIFS('Leave Records'!$I:$I,'Leave Records'!$B:$B,$B50,'Leave Records'!$K:$K,"Approved",'Leave Records'!$F:$F,"&gt;="&amp;DATE(Config!$I$7,3,1),'Leave Records'!$F:$F,"&lt;="&amp;EOMONTH(DATE(Config!$I$7,3,1),0)))</f>
        <v>0</v>
      </c>
      <c r="G50" s="9">
        <f>IF($B50="","",SUMIFS('Leave Records'!$I:$I,'Leave Records'!$B:$B,$B50,'Leave Records'!$K:$K,"Approved",'Leave Records'!$F:$F,"&gt;="&amp;DATE(Config!$I$7,4,1),'Leave Records'!$F:$F,"&lt;="&amp;EOMONTH(DATE(Config!$I$7,4,1),0)))</f>
        <v>0</v>
      </c>
      <c r="H50" s="9">
        <f>IF($B50="","",SUMIFS('Leave Records'!$I:$I,'Leave Records'!$B:$B,$B50,'Leave Records'!$K:$K,"Approved",'Leave Records'!$F:$F,"&gt;="&amp;DATE(Config!$I$7,5,1),'Leave Records'!$F:$F,"&lt;="&amp;EOMONTH(DATE(Config!$I$7,5,1),0)))</f>
        <v>0</v>
      </c>
      <c r="I50" s="9">
        <f>IF($B50="","",SUMIFS('Leave Records'!$I:$I,'Leave Records'!$B:$B,$B50,'Leave Records'!$K:$K,"Approved",'Leave Records'!$F:$F,"&gt;="&amp;DATE(Config!$I$7,6,1),'Leave Records'!$F:$F,"&lt;="&amp;EOMONTH(DATE(Config!$I$7,6,1),0)))</f>
        <v>0</v>
      </c>
      <c r="J50" s="9">
        <f>IF($B50="","",SUMIFS('Leave Records'!$I:$I,'Leave Records'!$B:$B,$B50,'Leave Records'!$K:$K,"Approved",'Leave Records'!$F:$F,"&gt;="&amp;DATE(Config!$I$7,7,1),'Leave Records'!$F:$F,"&lt;="&amp;EOMONTH(DATE(Config!$I$7,7,1),0)))</f>
        <v>0</v>
      </c>
      <c r="K50" s="9">
        <f>IF($B50="","",SUMIFS('Leave Records'!$I:$I,'Leave Records'!$B:$B,$B50,'Leave Records'!$K:$K,"Approved",'Leave Records'!$F:$F,"&gt;="&amp;DATE(Config!$I$7,8,1),'Leave Records'!$F:$F,"&lt;="&amp;EOMONTH(DATE(Config!$I$7,8,1),0)))</f>
        <v>0</v>
      </c>
      <c r="L50" s="9">
        <f>IF($B50="","",SUMIFS('Leave Records'!$I:$I,'Leave Records'!$B:$B,$B50,'Leave Records'!$K:$K,"Approved",'Leave Records'!$F:$F,"&gt;="&amp;DATE(Config!$I$7,9,1),'Leave Records'!$F:$F,"&lt;="&amp;EOMONTH(DATE(Config!$I$7,9,1),0)))</f>
        <v>0</v>
      </c>
      <c r="M50" s="9">
        <f>IF($B50="","",SUMIFS('Leave Records'!$I:$I,'Leave Records'!$B:$B,$B50,'Leave Records'!$K:$K,"Approved",'Leave Records'!$F:$F,"&gt;="&amp;DATE(Config!$I$7,10,1),'Leave Records'!$F:$F,"&lt;="&amp;EOMONTH(DATE(Config!$I$7,10,1),0)))</f>
        <v>0</v>
      </c>
      <c r="N50" s="9">
        <f>IF($B50="","",SUMIFS('Leave Records'!$I:$I,'Leave Records'!$B:$B,$B50,'Leave Records'!$K:$K,"Approved",'Leave Records'!$F:$F,"&gt;="&amp;DATE(Config!$I$7,11,1),'Leave Records'!$F:$F,"&lt;="&amp;EOMONTH(DATE(Config!$I$7,11,1),0)))</f>
        <v>0</v>
      </c>
      <c r="O50" s="9">
        <f>IF($B50="","",SUMIFS('Leave Records'!$I:$I,'Leave Records'!$B:$B,$B50,'Leave Records'!$K:$K,"Approved",'Leave Records'!$F:$F,"&gt;="&amp;DATE(Config!$I$7,12,1),'Leave Records'!$F:$F,"&lt;="&amp;EOMONTH(DATE(Config!$I$7,12,1),0)))</f>
        <v>0</v>
      </c>
      <c r="P50" s="14">
        <f t="shared" si="1"/>
        <v>0</v>
      </c>
    </row>
    <row r="51" ht="17" customHeight="1" spans="1:16">
      <c r="A51" s="5">
        <f t="shared" si="0"/>
        <v>47</v>
      </c>
      <c r="B51" s="6" t="str">
        <f>IF(Config!$B$53="","",Config!$B$53)</f>
        <v>Shahida</v>
      </c>
      <c r="C51" s="7" t="str">
        <f>IF(Config!$B$53="","",Config!$C$53)</f>
        <v/>
      </c>
      <c r="D51" s="8">
        <f>IF($B51="","",SUMIFS('Leave Records'!$I:$I,'Leave Records'!$B:$B,$B51,'Leave Records'!$K:$K,"Approved",'Leave Records'!$F:$F,"&gt;="&amp;DATE(Config!$I$7,1,1),'Leave Records'!$F:$F,"&lt;="&amp;EOMONTH(DATE(Config!$I$7,1,1),0)))</f>
        <v>0</v>
      </c>
      <c r="E51" s="9">
        <f>IF($B51="","",SUMIFS('Leave Records'!$I:$I,'Leave Records'!$B:$B,$B51,'Leave Records'!$K:$K,"Approved",'Leave Records'!$F:$F,"&gt;="&amp;DATE(Config!$I$7,2,1),'Leave Records'!$F:$F,"&lt;="&amp;EOMONTH(DATE(Config!$I$7,2,1),0)))</f>
        <v>0</v>
      </c>
      <c r="F51" s="8">
        <f>IF($B51="","",SUMIFS('Leave Records'!$I:$I,'Leave Records'!$B:$B,$B51,'Leave Records'!$K:$K,"Approved",'Leave Records'!$F:$F,"&gt;="&amp;DATE(Config!$I$7,3,1),'Leave Records'!$F:$F,"&lt;="&amp;EOMONTH(DATE(Config!$I$7,3,1),0)))</f>
        <v>0</v>
      </c>
      <c r="G51" s="10">
        <f>IF($B51="","",SUMIFS('Leave Records'!$I:$I,'Leave Records'!$B:$B,$B51,'Leave Records'!$K:$K,"Approved",'Leave Records'!$F:$F,"&gt;="&amp;DATE(Config!$I$7,4,1),'Leave Records'!$F:$F,"&lt;="&amp;EOMONTH(DATE(Config!$I$7,4,1),0)))</f>
        <v>0</v>
      </c>
      <c r="H51" s="10">
        <f>IF($B51="","",SUMIFS('Leave Records'!$I:$I,'Leave Records'!$B:$B,$B51,'Leave Records'!$K:$K,"Approved",'Leave Records'!$F:$F,"&gt;="&amp;DATE(Config!$I$7,5,1),'Leave Records'!$F:$F,"&lt;="&amp;EOMONTH(DATE(Config!$I$7,5,1),0)))</f>
        <v>0</v>
      </c>
      <c r="I51" s="8">
        <f>IF($B51="","",SUMIFS('Leave Records'!$I:$I,'Leave Records'!$B:$B,$B51,'Leave Records'!$K:$K,"Approved",'Leave Records'!$F:$F,"&gt;="&amp;DATE(Config!$I$7,6,1),'Leave Records'!$F:$F,"&lt;="&amp;EOMONTH(DATE(Config!$I$7,6,1),0)))</f>
        <v>0</v>
      </c>
      <c r="J51" s="8">
        <f>IF($B51="","",SUMIFS('Leave Records'!$I:$I,'Leave Records'!$B:$B,$B51,'Leave Records'!$K:$K,"Approved",'Leave Records'!$F:$F,"&gt;="&amp;DATE(Config!$I$7,7,1),'Leave Records'!$F:$F,"&lt;="&amp;EOMONTH(DATE(Config!$I$7,7,1),0)))</f>
        <v>0</v>
      </c>
      <c r="K51" s="9">
        <f>IF($B51="","",SUMIFS('Leave Records'!$I:$I,'Leave Records'!$B:$B,$B51,'Leave Records'!$K:$K,"Approved",'Leave Records'!$F:$F,"&gt;="&amp;DATE(Config!$I$7,8,1),'Leave Records'!$F:$F,"&lt;="&amp;EOMONTH(DATE(Config!$I$7,8,1),0)))</f>
        <v>0</v>
      </c>
      <c r="L51" s="8">
        <f>IF($B51="","",SUMIFS('Leave Records'!$I:$I,'Leave Records'!$B:$B,$B51,'Leave Records'!$K:$K,"Approved",'Leave Records'!$F:$F,"&gt;="&amp;DATE(Config!$I$7,9,1),'Leave Records'!$F:$F,"&lt;="&amp;EOMONTH(DATE(Config!$I$7,9,1),0)))</f>
        <v>0</v>
      </c>
      <c r="M51" s="10">
        <f>IF($B51="","",SUMIFS('Leave Records'!$I:$I,'Leave Records'!$B:$B,$B51,'Leave Records'!$K:$K,"Approved",'Leave Records'!$F:$F,"&gt;="&amp;DATE(Config!$I$7,10,1),'Leave Records'!$F:$F,"&lt;="&amp;EOMONTH(DATE(Config!$I$7,10,1),0)))</f>
        <v>0</v>
      </c>
      <c r="N51" s="10">
        <f>IF($B51="","",SUMIFS('Leave Records'!$I:$I,'Leave Records'!$B:$B,$B51,'Leave Records'!$K:$K,"Approved",'Leave Records'!$F:$F,"&gt;="&amp;DATE(Config!$I$7,11,1),'Leave Records'!$F:$F,"&lt;="&amp;EOMONTH(DATE(Config!$I$7,11,1),0)))</f>
        <v>0</v>
      </c>
      <c r="O51" s="8">
        <f>IF($B51="","",SUMIFS('Leave Records'!$I:$I,'Leave Records'!$B:$B,$B51,'Leave Records'!$K:$K,"Approved",'Leave Records'!$F:$F,"&gt;="&amp;DATE(Config!$I$7,12,1),'Leave Records'!$F:$F,"&lt;="&amp;EOMONTH(DATE(Config!$I$7,12,1),0)))</f>
        <v>0</v>
      </c>
      <c r="P51" s="11">
        <f t="shared" si="1"/>
        <v>0</v>
      </c>
    </row>
    <row r="52" ht="17" customHeight="1" spans="1:16">
      <c r="A52" s="5">
        <f t="shared" si="0"/>
        <v>48</v>
      </c>
      <c r="B52" s="12" t="str">
        <f>IF(Config!$B$54="","",Config!$B$54)</f>
        <v>Rabeya Rima</v>
      </c>
      <c r="C52" s="13" t="str">
        <f>IF(Config!$B$54="","",Config!$C$54)</f>
        <v/>
      </c>
      <c r="D52" s="9">
        <f>IF($B52="","",SUMIFS('Leave Records'!$I:$I,'Leave Records'!$B:$B,$B52,'Leave Records'!$K:$K,"Approved",'Leave Records'!$F:$F,"&gt;="&amp;DATE(Config!$I$7,1,1),'Leave Records'!$F:$F,"&lt;="&amp;EOMONTH(DATE(Config!$I$7,1,1),0)))</f>
        <v>0</v>
      </c>
      <c r="E52" s="9">
        <f>IF($B52="","",SUMIFS('Leave Records'!$I:$I,'Leave Records'!$B:$B,$B52,'Leave Records'!$K:$K,"Approved",'Leave Records'!$F:$F,"&gt;="&amp;DATE(Config!$I$7,2,1),'Leave Records'!$F:$F,"&lt;="&amp;EOMONTH(DATE(Config!$I$7,2,1),0)))</f>
        <v>0</v>
      </c>
      <c r="F52" s="9">
        <f>IF($B52="","",SUMIFS('Leave Records'!$I:$I,'Leave Records'!$B:$B,$B52,'Leave Records'!$K:$K,"Approved",'Leave Records'!$F:$F,"&gt;="&amp;DATE(Config!$I$7,3,1),'Leave Records'!$F:$F,"&lt;="&amp;EOMONTH(DATE(Config!$I$7,3,1),0)))</f>
        <v>0</v>
      </c>
      <c r="G52" s="9">
        <f>IF($B52="","",SUMIFS('Leave Records'!$I:$I,'Leave Records'!$B:$B,$B52,'Leave Records'!$K:$K,"Approved",'Leave Records'!$F:$F,"&gt;="&amp;DATE(Config!$I$7,4,1),'Leave Records'!$F:$F,"&lt;="&amp;EOMONTH(DATE(Config!$I$7,4,1),0)))</f>
        <v>0</v>
      </c>
      <c r="H52" s="9">
        <f>IF($B52="","",SUMIFS('Leave Records'!$I:$I,'Leave Records'!$B:$B,$B52,'Leave Records'!$K:$K,"Approved",'Leave Records'!$F:$F,"&gt;="&amp;DATE(Config!$I$7,5,1),'Leave Records'!$F:$F,"&lt;="&amp;EOMONTH(DATE(Config!$I$7,5,1),0)))</f>
        <v>0</v>
      </c>
      <c r="I52" s="9">
        <f>IF($B52="","",SUMIFS('Leave Records'!$I:$I,'Leave Records'!$B:$B,$B52,'Leave Records'!$K:$K,"Approved",'Leave Records'!$F:$F,"&gt;="&amp;DATE(Config!$I$7,6,1),'Leave Records'!$F:$F,"&lt;="&amp;EOMONTH(DATE(Config!$I$7,6,1),0)))</f>
        <v>0</v>
      </c>
      <c r="J52" s="9">
        <f>IF($B52="","",SUMIFS('Leave Records'!$I:$I,'Leave Records'!$B:$B,$B52,'Leave Records'!$K:$K,"Approved",'Leave Records'!$F:$F,"&gt;="&amp;DATE(Config!$I$7,7,1),'Leave Records'!$F:$F,"&lt;="&amp;EOMONTH(DATE(Config!$I$7,7,1),0)))</f>
        <v>0</v>
      </c>
      <c r="K52" s="9">
        <f>IF($B52="","",SUMIFS('Leave Records'!$I:$I,'Leave Records'!$B:$B,$B52,'Leave Records'!$K:$K,"Approved",'Leave Records'!$F:$F,"&gt;="&amp;DATE(Config!$I$7,8,1),'Leave Records'!$F:$F,"&lt;="&amp;EOMONTH(DATE(Config!$I$7,8,1),0)))</f>
        <v>0</v>
      </c>
      <c r="L52" s="9">
        <f>IF($B52="","",SUMIFS('Leave Records'!$I:$I,'Leave Records'!$B:$B,$B52,'Leave Records'!$K:$K,"Approved",'Leave Records'!$F:$F,"&gt;="&amp;DATE(Config!$I$7,9,1),'Leave Records'!$F:$F,"&lt;="&amp;EOMONTH(DATE(Config!$I$7,9,1),0)))</f>
        <v>0</v>
      </c>
      <c r="M52" s="9">
        <f>IF($B52="","",SUMIFS('Leave Records'!$I:$I,'Leave Records'!$B:$B,$B52,'Leave Records'!$K:$K,"Approved",'Leave Records'!$F:$F,"&gt;="&amp;DATE(Config!$I$7,10,1),'Leave Records'!$F:$F,"&lt;="&amp;EOMONTH(DATE(Config!$I$7,10,1),0)))</f>
        <v>0</v>
      </c>
      <c r="N52" s="9">
        <f>IF($B52="","",SUMIFS('Leave Records'!$I:$I,'Leave Records'!$B:$B,$B52,'Leave Records'!$K:$K,"Approved",'Leave Records'!$F:$F,"&gt;="&amp;DATE(Config!$I$7,11,1),'Leave Records'!$F:$F,"&lt;="&amp;EOMONTH(DATE(Config!$I$7,11,1),0)))</f>
        <v>0</v>
      </c>
      <c r="O52" s="9">
        <f>IF($B52="","",SUMIFS('Leave Records'!$I:$I,'Leave Records'!$B:$B,$B52,'Leave Records'!$K:$K,"Approved",'Leave Records'!$F:$F,"&gt;="&amp;DATE(Config!$I$7,12,1),'Leave Records'!$F:$F,"&lt;="&amp;EOMONTH(DATE(Config!$I$7,12,1),0)))</f>
        <v>0</v>
      </c>
      <c r="P52" s="14">
        <f t="shared" si="1"/>
        <v>0</v>
      </c>
    </row>
    <row r="53" ht="17" customHeight="1" spans="1:16">
      <c r="A53" s="5">
        <f t="shared" si="0"/>
        <v>49</v>
      </c>
      <c r="B53" s="6" t="str">
        <f>IF(Config!$B$55="","",Config!$B$55)</f>
        <v>Moyna</v>
      </c>
      <c r="C53" s="7" t="str">
        <f>IF(Config!$B$55="","",Config!$C$55)</f>
        <v/>
      </c>
      <c r="D53" s="8">
        <f>IF($B53="","",SUMIFS('Leave Records'!$I:$I,'Leave Records'!$B:$B,$B53,'Leave Records'!$K:$K,"Approved",'Leave Records'!$F:$F,"&gt;="&amp;DATE(Config!$I$7,1,1),'Leave Records'!$F:$F,"&lt;="&amp;EOMONTH(DATE(Config!$I$7,1,1),0)))</f>
        <v>0</v>
      </c>
      <c r="E53" s="9">
        <f>IF($B53="","",SUMIFS('Leave Records'!$I:$I,'Leave Records'!$B:$B,$B53,'Leave Records'!$K:$K,"Approved",'Leave Records'!$F:$F,"&gt;="&amp;DATE(Config!$I$7,2,1),'Leave Records'!$F:$F,"&lt;="&amp;EOMONTH(DATE(Config!$I$7,2,1),0)))</f>
        <v>0</v>
      </c>
      <c r="F53" s="8">
        <f>IF($B53="","",SUMIFS('Leave Records'!$I:$I,'Leave Records'!$B:$B,$B53,'Leave Records'!$K:$K,"Approved",'Leave Records'!$F:$F,"&gt;="&amp;DATE(Config!$I$7,3,1),'Leave Records'!$F:$F,"&lt;="&amp;EOMONTH(DATE(Config!$I$7,3,1),0)))</f>
        <v>0</v>
      </c>
      <c r="G53" s="10">
        <f>IF($B53="","",SUMIFS('Leave Records'!$I:$I,'Leave Records'!$B:$B,$B53,'Leave Records'!$K:$K,"Approved",'Leave Records'!$F:$F,"&gt;="&amp;DATE(Config!$I$7,4,1),'Leave Records'!$F:$F,"&lt;="&amp;EOMONTH(DATE(Config!$I$7,4,1),0)))</f>
        <v>0</v>
      </c>
      <c r="H53" s="10">
        <f>IF($B53="","",SUMIFS('Leave Records'!$I:$I,'Leave Records'!$B:$B,$B53,'Leave Records'!$K:$K,"Approved",'Leave Records'!$F:$F,"&gt;="&amp;DATE(Config!$I$7,5,1),'Leave Records'!$F:$F,"&lt;="&amp;EOMONTH(DATE(Config!$I$7,5,1),0)))</f>
        <v>0</v>
      </c>
      <c r="I53" s="8">
        <f>IF($B53="","",SUMIFS('Leave Records'!$I:$I,'Leave Records'!$B:$B,$B53,'Leave Records'!$K:$K,"Approved",'Leave Records'!$F:$F,"&gt;="&amp;DATE(Config!$I$7,6,1),'Leave Records'!$F:$F,"&lt;="&amp;EOMONTH(DATE(Config!$I$7,6,1),0)))</f>
        <v>0</v>
      </c>
      <c r="J53" s="8">
        <f>IF($B53="","",SUMIFS('Leave Records'!$I:$I,'Leave Records'!$B:$B,$B53,'Leave Records'!$K:$K,"Approved",'Leave Records'!$F:$F,"&gt;="&amp;DATE(Config!$I$7,7,1),'Leave Records'!$F:$F,"&lt;="&amp;EOMONTH(DATE(Config!$I$7,7,1),0)))</f>
        <v>0</v>
      </c>
      <c r="K53" s="9">
        <f>IF($B53="","",SUMIFS('Leave Records'!$I:$I,'Leave Records'!$B:$B,$B53,'Leave Records'!$K:$K,"Approved",'Leave Records'!$F:$F,"&gt;="&amp;DATE(Config!$I$7,8,1),'Leave Records'!$F:$F,"&lt;="&amp;EOMONTH(DATE(Config!$I$7,8,1),0)))</f>
        <v>0</v>
      </c>
      <c r="L53" s="8">
        <f>IF($B53="","",SUMIFS('Leave Records'!$I:$I,'Leave Records'!$B:$B,$B53,'Leave Records'!$K:$K,"Approved",'Leave Records'!$F:$F,"&gt;="&amp;DATE(Config!$I$7,9,1),'Leave Records'!$F:$F,"&lt;="&amp;EOMONTH(DATE(Config!$I$7,9,1),0)))</f>
        <v>0</v>
      </c>
      <c r="M53" s="10">
        <f>IF($B53="","",SUMIFS('Leave Records'!$I:$I,'Leave Records'!$B:$B,$B53,'Leave Records'!$K:$K,"Approved",'Leave Records'!$F:$F,"&gt;="&amp;DATE(Config!$I$7,10,1),'Leave Records'!$F:$F,"&lt;="&amp;EOMONTH(DATE(Config!$I$7,10,1),0)))</f>
        <v>0</v>
      </c>
      <c r="N53" s="10">
        <f>IF($B53="","",SUMIFS('Leave Records'!$I:$I,'Leave Records'!$B:$B,$B53,'Leave Records'!$K:$K,"Approved",'Leave Records'!$F:$F,"&gt;="&amp;DATE(Config!$I$7,11,1),'Leave Records'!$F:$F,"&lt;="&amp;EOMONTH(DATE(Config!$I$7,11,1),0)))</f>
        <v>0</v>
      </c>
      <c r="O53" s="8">
        <f>IF($B53="","",SUMIFS('Leave Records'!$I:$I,'Leave Records'!$B:$B,$B53,'Leave Records'!$K:$K,"Approved",'Leave Records'!$F:$F,"&gt;="&amp;DATE(Config!$I$7,12,1),'Leave Records'!$F:$F,"&lt;="&amp;EOMONTH(DATE(Config!$I$7,12,1),0)))</f>
        <v>0</v>
      </c>
      <c r="P53" s="11">
        <f t="shared" si="1"/>
        <v>0</v>
      </c>
    </row>
    <row r="54" ht="17" customHeight="1" spans="1:16">
      <c r="A54" s="5">
        <f t="shared" si="0"/>
        <v>50</v>
      </c>
      <c r="B54" s="12" t="str">
        <f>IF(Config!$B$56="","",Config!$B$56)</f>
        <v>Rohima</v>
      </c>
      <c r="C54" s="13" t="str">
        <f>IF(Config!$B$56="","",Config!$C$56)</f>
        <v/>
      </c>
      <c r="D54" s="9">
        <f>IF($B54="","",SUMIFS('Leave Records'!$I:$I,'Leave Records'!$B:$B,$B54,'Leave Records'!$K:$K,"Approved",'Leave Records'!$F:$F,"&gt;="&amp;DATE(Config!$I$7,1,1),'Leave Records'!$F:$F,"&lt;="&amp;EOMONTH(DATE(Config!$I$7,1,1),0)))</f>
        <v>0</v>
      </c>
      <c r="E54" s="9">
        <f>IF($B54="","",SUMIFS('Leave Records'!$I:$I,'Leave Records'!$B:$B,$B54,'Leave Records'!$K:$K,"Approved",'Leave Records'!$F:$F,"&gt;="&amp;DATE(Config!$I$7,2,1),'Leave Records'!$F:$F,"&lt;="&amp;EOMONTH(DATE(Config!$I$7,2,1),0)))</f>
        <v>0</v>
      </c>
      <c r="F54" s="9">
        <f>IF($B54="","",SUMIFS('Leave Records'!$I:$I,'Leave Records'!$B:$B,$B54,'Leave Records'!$K:$K,"Approved",'Leave Records'!$F:$F,"&gt;="&amp;DATE(Config!$I$7,3,1),'Leave Records'!$F:$F,"&lt;="&amp;EOMONTH(DATE(Config!$I$7,3,1),0)))</f>
        <v>0</v>
      </c>
      <c r="G54" s="9">
        <f>IF($B54="","",SUMIFS('Leave Records'!$I:$I,'Leave Records'!$B:$B,$B54,'Leave Records'!$K:$K,"Approved",'Leave Records'!$F:$F,"&gt;="&amp;DATE(Config!$I$7,4,1),'Leave Records'!$F:$F,"&lt;="&amp;EOMONTH(DATE(Config!$I$7,4,1),0)))</f>
        <v>0</v>
      </c>
      <c r="H54" s="9">
        <f>IF($B54="","",SUMIFS('Leave Records'!$I:$I,'Leave Records'!$B:$B,$B54,'Leave Records'!$K:$K,"Approved",'Leave Records'!$F:$F,"&gt;="&amp;DATE(Config!$I$7,5,1),'Leave Records'!$F:$F,"&lt;="&amp;EOMONTH(DATE(Config!$I$7,5,1),0)))</f>
        <v>0</v>
      </c>
      <c r="I54" s="9">
        <f>IF($B54="","",SUMIFS('Leave Records'!$I:$I,'Leave Records'!$B:$B,$B54,'Leave Records'!$K:$K,"Approved",'Leave Records'!$F:$F,"&gt;="&amp;DATE(Config!$I$7,6,1),'Leave Records'!$F:$F,"&lt;="&amp;EOMONTH(DATE(Config!$I$7,6,1),0)))</f>
        <v>0</v>
      </c>
      <c r="J54" s="9">
        <f>IF($B54="","",SUMIFS('Leave Records'!$I:$I,'Leave Records'!$B:$B,$B54,'Leave Records'!$K:$K,"Approved",'Leave Records'!$F:$F,"&gt;="&amp;DATE(Config!$I$7,7,1),'Leave Records'!$F:$F,"&lt;="&amp;EOMONTH(DATE(Config!$I$7,7,1),0)))</f>
        <v>0</v>
      </c>
      <c r="K54" s="9">
        <f>IF($B54="","",SUMIFS('Leave Records'!$I:$I,'Leave Records'!$B:$B,$B54,'Leave Records'!$K:$K,"Approved",'Leave Records'!$F:$F,"&gt;="&amp;DATE(Config!$I$7,8,1),'Leave Records'!$F:$F,"&lt;="&amp;EOMONTH(DATE(Config!$I$7,8,1),0)))</f>
        <v>0</v>
      </c>
      <c r="L54" s="9">
        <f>IF($B54="","",SUMIFS('Leave Records'!$I:$I,'Leave Records'!$B:$B,$B54,'Leave Records'!$K:$K,"Approved",'Leave Records'!$F:$F,"&gt;="&amp;DATE(Config!$I$7,9,1),'Leave Records'!$F:$F,"&lt;="&amp;EOMONTH(DATE(Config!$I$7,9,1),0)))</f>
        <v>0</v>
      </c>
      <c r="M54" s="9">
        <f>IF($B54="","",SUMIFS('Leave Records'!$I:$I,'Leave Records'!$B:$B,$B54,'Leave Records'!$K:$K,"Approved",'Leave Records'!$F:$F,"&gt;="&amp;DATE(Config!$I$7,10,1),'Leave Records'!$F:$F,"&lt;="&amp;EOMONTH(DATE(Config!$I$7,10,1),0)))</f>
        <v>0</v>
      </c>
      <c r="N54" s="9">
        <f>IF($B54="","",SUMIFS('Leave Records'!$I:$I,'Leave Records'!$B:$B,$B54,'Leave Records'!$K:$K,"Approved",'Leave Records'!$F:$F,"&gt;="&amp;DATE(Config!$I$7,11,1),'Leave Records'!$F:$F,"&lt;="&amp;EOMONTH(DATE(Config!$I$7,11,1),0)))</f>
        <v>0</v>
      </c>
      <c r="O54" s="9">
        <f>IF($B54="","",SUMIFS('Leave Records'!$I:$I,'Leave Records'!$B:$B,$B54,'Leave Records'!$K:$K,"Approved",'Leave Records'!$F:$F,"&gt;="&amp;DATE(Config!$I$7,12,1),'Leave Records'!$F:$F,"&lt;="&amp;EOMONTH(DATE(Config!$I$7,12,1),0)))</f>
        <v>0</v>
      </c>
      <c r="P54" s="14">
        <f t="shared" si="1"/>
        <v>0</v>
      </c>
    </row>
    <row r="55" ht="17" customHeight="1" spans="1:16">
      <c r="A55" s="5">
        <f t="shared" si="0"/>
        <v>51</v>
      </c>
      <c r="B55" s="6" t="str">
        <f>IF(Config!$B$57="","",Config!$B$57)</f>
        <v>Sharmin</v>
      </c>
      <c r="C55" s="7" t="str">
        <f>IF(Config!$B$57="","",Config!$C$57)</f>
        <v/>
      </c>
      <c r="D55" s="8">
        <f>IF($B55="","",SUMIFS('Leave Records'!$I:$I,'Leave Records'!$B:$B,$B55,'Leave Records'!$K:$K,"Approved",'Leave Records'!$F:$F,"&gt;="&amp;DATE(Config!$I$7,1,1),'Leave Records'!$F:$F,"&lt;="&amp;EOMONTH(DATE(Config!$I$7,1,1),0)))</f>
        <v>0</v>
      </c>
      <c r="E55" s="9">
        <f>IF($B55="","",SUMIFS('Leave Records'!$I:$I,'Leave Records'!$B:$B,$B55,'Leave Records'!$K:$K,"Approved",'Leave Records'!$F:$F,"&gt;="&amp;DATE(Config!$I$7,2,1),'Leave Records'!$F:$F,"&lt;="&amp;EOMONTH(DATE(Config!$I$7,2,1),0)))</f>
        <v>0</v>
      </c>
      <c r="F55" s="8">
        <f>IF($B55="","",SUMIFS('Leave Records'!$I:$I,'Leave Records'!$B:$B,$B55,'Leave Records'!$K:$K,"Approved",'Leave Records'!$F:$F,"&gt;="&amp;DATE(Config!$I$7,3,1),'Leave Records'!$F:$F,"&lt;="&amp;EOMONTH(DATE(Config!$I$7,3,1),0)))</f>
        <v>0</v>
      </c>
      <c r="G55" s="10">
        <f>IF($B55="","",SUMIFS('Leave Records'!$I:$I,'Leave Records'!$B:$B,$B55,'Leave Records'!$K:$K,"Approved",'Leave Records'!$F:$F,"&gt;="&amp;DATE(Config!$I$7,4,1),'Leave Records'!$F:$F,"&lt;="&amp;EOMONTH(DATE(Config!$I$7,4,1),0)))</f>
        <v>0</v>
      </c>
      <c r="H55" s="10">
        <f>IF($B55="","",SUMIFS('Leave Records'!$I:$I,'Leave Records'!$B:$B,$B55,'Leave Records'!$K:$K,"Approved",'Leave Records'!$F:$F,"&gt;="&amp;DATE(Config!$I$7,5,1),'Leave Records'!$F:$F,"&lt;="&amp;EOMONTH(DATE(Config!$I$7,5,1),0)))</f>
        <v>0</v>
      </c>
      <c r="I55" s="8">
        <f>IF($B55="","",SUMIFS('Leave Records'!$I:$I,'Leave Records'!$B:$B,$B55,'Leave Records'!$K:$K,"Approved",'Leave Records'!$F:$F,"&gt;="&amp;DATE(Config!$I$7,6,1),'Leave Records'!$F:$F,"&lt;="&amp;EOMONTH(DATE(Config!$I$7,6,1),0)))</f>
        <v>0</v>
      </c>
      <c r="J55" s="8">
        <f>IF($B55="","",SUMIFS('Leave Records'!$I:$I,'Leave Records'!$B:$B,$B55,'Leave Records'!$K:$K,"Approved",'Leave Records'!$F:$F,"&gt;="&amp;DATE(Config!$I$7,7,1),'Leave Records'!$F:$F,"&lt;="&amp;EOMONTH(DATE(Config!$I$7,7,1),0)))</f>
        <v>0</v>
      </c>
      <c r="K55" s="9">
        <f>IF($B55="","",SUMIFS('Leave Records'!$I:$I,'Leave Records'!$B:$B,$B55,'Leave Records'!$K:$K,"Approved",'Leave Records'!$F:$F,"&gt;="&amp;DATE(Config!$I$7,8,1),'Leave Records'!$F:$F,"&lt;="&amp;EOMONTH(DATE(Config!$I$7,8,1),0)))</f>
        <v>0</v>
      </c>
      <c r="L55" s="8">
        <f>IF($B55="","",SUMIFS('Leave Records'!$I:$I,'Leave Records'!$B:$B,$B55,'Leave Records'!$K:$K,"Approved",'Leave Records'!$F:$F,"&gt;="&amp;DATE(Config!$I$7,9,1),'Leave Records'!$F:$F,"&lt;="&amp;EOMONTH(DATE(Config!$I$7,9,1),0)))</f>
        <v>0</v>
      </c>
      <c r="M55" s="10">
        <f>IF($B55="","",SUMIFS('Leave Records'!$I:$I,'Leave Records'!$B:$B,$B55,'Leave Records'!$K:$K,"Approved",'Leave Records'!$F:$F,"&gt;="&amp;DATE(Config!$I$7,10,1),'Leave Records'!$F:$F,"&lt;="&amp;EOMONTH(DATE(Config!$I$7,10,1),0)))</f>
        <v>0</v>
      </c>
      <c r="N55" s="10">
        <f>IF($B55="","",SUMIFS('Leave Records'!$I:$I,'Leave Records'!$B:$B,$B55,'Leave Records'!$K:$K,"Approved",'Leave Records'!$F:$F,"&gt;="&amp;DATE(Config!$I$7,11,1),'Leave Records'!$F:$F,"&lt;="&amp;EOMONTH(DATE(Config!$I$7,11,1),0)))</f>
        <v>0</v>
      </c>
      <c r="O55" s="8">
        <f>IF($B55="","",SUMIFS('Leave Records'!$I:$I,'Leave Records'!$B:$B,$B55,'Leave Records'!$K:$K,"Approved",'Leave Records'!$F:$F,"&gt;="&amp;DATE(Config!$I$7,12,1),'Leave Records'!$F:$F,"&lt;="&amp;EOMONTH(DATE(Config!$I$7,12,1),0)))</f>
        <v>0</v>
      </c>
      <c r="P55" s="11">
        <f t="shared" si="1"/>
        <v>0</v>
      </c>
    </row>
    <row r="56" ht="17" customHeight="1" spans="1:16">
      <c r="A56" s="5">
        <f t="shared" si="0"/>
        <v>52</v>
      </c>
      <c r="B56" s="12" t="str">
        <f>IF(Config!$B$58="","",Config!$B$58)</f>
        <v>Nargis Akter</v>
      </c>
      <c r="C56" s="13" t="str">
        <f>IF(Config!$B$58="","",Config!$C$58)</f>
        <v/>
      </c>
      <c r="D56" s="9">
        <f>IF($B56="","",SUMIFS('Leave Records'!$I:$I,'Leave Records'!$B:$B,$B56,'Leave Records'!$K:$K,"Approved",'Leave Records'!$F:$F,"&gt;="&amp;DATE(Config!$I$7,1,1),'Leave Records'!$F:$F,"&lt;="&amp;EOMONTH(DATE(Config!$I$7,1,1),0)))</f>
        <v>0</v>
      </c>
      <c r="E56" s="9">
        <f>IF($B56="","",SUMIFS('Leave Records'!$I:$I,'Leave Records'!$B:$B,$B56,'Leave Records'!$K:$K,"Approved",'Leave Records'!$F:$F,"&gt;="&amp;DATE(Config!$I$7,2,1),'Leave Records'!$F:$F,"&lt;="&amp;EOMONTH(DATE(Config!$I$7,2,1),0)))</f>
        <v>0</v>
      </c>
      <c r="F56" s="9">
        <f>IF($B56="","",SUMIFS('Leave Records'!$I:$I,'Leave Records'!$B:$B,$B56,'Leave Records'!$K:$K,"Approved",'Leave Records'!$F:$F,"&gt;="&amp;DATE(Config!$I$7,3,1),'Leave Records'!$F:$F,"&lt;="&amp;EOMONTH(DATE(Config!$I$7,3,1),0)))</f>
        <v>0</v>
      </c>
      <c r="G56" s="9">
        <f>IF($B56="","",SUMIFS('Leave Records'!$I:$I,'Leave Records'!$B:$B,$B56,'Leave Records'!$K:$K,"Approved",'Leave Records'!$F:$F,"&gt;="&amp;DATE(Config!$I$7,4,1),'Leave Records'!$F:$F,"&lt;="&amp;EOMONTH(DATE(Config!$I$7,4,1),0)))</f>
        <v>0</v>
      </c>
      <c r="H56" s="9">
        <f>IF($B56="","",SUMIFS('Leave Records'!$I:$I,'Leave Records'!$B:$B,$B56,'Leave Records'!$K:$K,"Approved",'Leave Records'!$F:$F,"&gt;="&amp;DATE(Config!$I$7,5,1),'Leave Records'!$F:$F,"&lt;="&amp;EOMONTH(DATE(Config!$I$7,5,1),0)))</f>
        <v>0</v>
      </c>
      <c r="I56" s="9">
        <f>IF($B56="","",SUMIFS('Leave Records'!$I:$I,'Leave Records'!$B:$B,$B56,'Leave Records'!$K:$K,"Approved",'Leave Records'!$F:$F,"&gt;="&amp;DATE(Config!$I$7,6,1),'Leave Records'!$F:$F,"&lt;="&amp;EOMONTH(DATE(Config!$I$7,6,1),0)))</f>
        <v>0</v>
      </c>
      <c r="J56" s="9">
        <f>IF($B56="","",SUMIFS('Leave Records'!$I:$I,'Leave Records'!$B:$B,$B56,'Leave Records'!$K:$K,"Approved",'Leave Records'!$F:$F,"&gt;="&amp;DATE(Config!$I$7,7,1),'Leave Records'!$F:$F,"&lt;="&amp;EOMONTH(DATE(Config!$I$7,7,1),0)))</f>
        <v>0</v>
      </c>
      <c r="K56" s="9">
        <f>IF($B56="","",SUMIFS('Leave Records'!$I:$I,'Leave Records'!$B:$B,$B56,'Leave Records'!$K:$K,"Approved",'Leave Records'!$F:$F,"&gt;="&amp;DATE(Config!$I$7,8,1),'Leave Records'!$F:$F,"&lt;="&amp;EOMONTH(DATE(Config!$I$7,8,1),0)))</f>
        <v>0</v>
      </c>
      <c r="L56" s="9">
        <f>IF($B56="","",SUMIFS('Leave Records'!$I:$I,'Leave Records'!$B:$B,$B56,'Leave Records'!$K:$K,"Approved",'Leave Records'!$F:$F,"&gt;="&amp;DATE(Config!$I$7,9,1),'Leave Records'!$F:$F,"&lt;="&amp;EOMONTH(DATE(Config!$I$7,9,1),0)))</f>
        <v>0</v>
      </c>
      <c r="M56" s="9">
        <f>IF($B56="","",SUMIFS('Leave Records'!$I:$I,'Leave Records'!$B:$B,$B56,'Leave Records'!$K:$K,"Approved",'Leave Records'!$F:$F,"&gt;="&amp;DATE(Config!$I$7,10,1),'Leave Records'!$F:$F,"&lt;="&amp;EOMONTH(DATE(Config!$I$7,10,1),0)))</f>
        <v>0</v>
      </c>
      <c r="N56" s="9">
        <f>IF($B56="","",SUMIFS('Leave Records'!$I:$I,'Leave Records'!$B:$B,$B56,'Leave Records'!$K:$K,"Approved",'Leave Records'!$F:$F,"&gt;="&amp;DATE(Config!$I$7,11,1),'Leave Records'!$F:$F,"&lt;="&amp;EOMONTH(DATE(Config!$I$7,11,1),0)))</f>
        <v>0</v>
      </c>
      <c r="O56" s="9">
        <f>IF($B56="","",SUMIFS('Leave Records'!$I:$I,'Leave Records'!$B:$B,$B56,'Leave Records'!$K:$K,"Approved",'Leave Records'!$F:$F,"&gt;="&amp;DATE(Config!$I$7,12,1),'Leave Records'!$F:$F,"&lt;="&amp;EOMONTH(DATE(Config!$I$7,12,1),0)))</f>
        <v>0</v>
      </c>
      <c r="P56" s="14">
        <f t="shared" si="1"/>
        <v>0</v>
      </c>
    </row>
    <row r="57" ht="17" customHeight="1" spans="1:16">
      <c r="A57" s="5">
        <f t="shared" si="0"/>
        <v>53</v>
      </c>
      <c r="B57" s="6" t="str">
        <f>IF(Config!$B$59="","",Config!$B$59)</f>
        <v>Sanjida Islam</v>
      </c>
      <c r="C57" s="7" t="str">
        <f>IF(Config!$B$59="","",Config!$C$59)</f>
        <v/>
      </c>
      <c r="D57" s="8">
        <f>IF($B57="","",SUMIFS('Leave Records'!$I:$I,'Leave Records'!$B:$B,$B57,'Leave Records'!$K:$K,"Approved",'Leave Records'!$F:$F,"&gt;="&amp;DATE(Config!$I$7,1,1),'Leave Records'!$F:$F,"&lt;="&amp;EOMONTH(DATE(Config!$I$7,1,1),0)))</f>
        <v>0</v>
      </c>
      <c r="E57" s="9">
        <f>IF($B57="","",SUMIFS('Leave Records'!$I:$I,'Leave Records'!$B:$B,$B57,'Leave Records'!$K:$K,"Approved",'Leave Records'!$F:$F,"&gt;="&amp;DATE(Config!$I$7,2,1),'Leave Records'!$F:$F,"&lt;="&amp;EOMONTH(DATE(Config!$I$7,2,1),0)))</f>
        <v>0</v>
      </c>
      <c r="F57" s="8">
        <f>IF($B57="","",SUMIFS('Leave Records'!$I:$I,'Leave Records'!$B:$B,$B57,'Leave Records'!$K:$K,"Approved",'Leave Records'!$F:$F,"&gt;="&amp;DATE(Config!$I$7,3,1),'Leave Records'!$F:$F,"&lt;="&amp;EOMONTH(DATE(Config!$I$7,3,1),0)))</f>
        <v>14</v>
      </c>
      <c r="G57" s="10">
        <f>IF($B57="","",SUMIFS('Leave Records'!$I:$I,'Leave Records'!$B:$B,$B57,'Leave Records'!$K:$K,"Approved",'Leave Records'!$F:$F,"&gt;="&amp;DATE(Config!$I$7,4,1),'Leave Records'!$F:$F,"&lt;="&amp;EOMONTH(DATE(Config!$I$7,4,1),0)))</f>
        <v>0</v>
      </c>
      <c r="H57" s="10">
        <f>IF($B57="","",SUMIFS('Leave Records'!$I:$I,'Leave Records'!$B:$B,$B57,'Leave Records'!$K:$K,"Approved",'Leave Records'!$F:$F,"&gt;="&amp;DATE(Config!$I$7,5,1),'Leave Records'!$F:$F,"&lt;="&amp;EOMONTH(DATE(Config!$I$7,5,1),0)))</f>
        <v>0</v>
      </c>
      <c r="I57" s="8">
        <f>IF($B57="","",SUMIFS('Leave Records'!$I:$I,'Leave Records'!$B:$B,$B57,'Leave Records'!$K:$K,"Approved",'Leave Records'!$F:$F,"&gt;="&amp;DATE(Config!$I$7,6,1),'Leave Records'!$F:$F,"&lt;="&amp;EOMONTH(DATE(Config!$I$7,6,1),0)))</f>
        <v>0</v>
      </c>
      <c r="J57" s="8">
        <f>IF($B57="","",SUMIFS('Leave Records'!$I:$I,'Leave Records'!$B:$B,$B57,'Leave Records'!$K:$K,"Approved",'Leave Records'!$F:$F,"&gt;="&amp;DATE(Config!$I$7,7,1),'Leave Records'!$F:$F,"&lt;="&amp;EOMONTH(DATE(Config!$I$7,7,1),0)))</f>
        <v>0</v>
      </c>
      <c r="K57" s="9">
        <f>IF($B57="","",SUMIFS('Leave Records'!$I:$I,'Leave Records'!$B:$B,$B57,'Leave Records'!$K:$K,"Approved",'Leave Records'!$F:$F,"&gt;="&amp;DATE(Config!$I$7,8,1),'Leave Records'!$F:$F,"&lt;="&amp;EOMONTH(DATE(Config!$I$7,8,1),0)))</f>
        <v>0</v>
      </c>
      <c r="L57" s="8">
        <f>IF($B57="","",SUMIFS('Leave Records'!$I:$I,'Leave Records'!$B:$B,$B57,'Leave Records'!$K:$K,"Approved",'Leave Records'!$F:$F,"&gt;="&amp;DATE(Config!$I$7,9,1),'Leave Records'!$F:$F,"&lt;="&amp;EOMONTH(DATE(Config!$I$7,9,1),0)))</f>
        <v>0</v>
      </c>
      <c r="M57" s="10">
        <f>IF($B57="","",SUMIFS('Leave Records'!$I:$I,'Leave Records'!$B:$B,$B57,'Leave Records'!$K:$K,"Approved",'Leave Records'!$F:$F,"&gt;="&amp;DATE(Config!$I$7,10,1),'Leave Records'!$F:$F,"&lt;="&amp;EOMONTH(DATE(Config!$I$7,10,1),0)))</f>
        <v>0</v>
      </c>
      <c r="N57" s="10">
        <f>IF($B57="","",SUMIFS('Leave Records'!$I:$I,'Leave Records'!$B:$B,$B57,'Leave Records'!$K:$K,"Approved",'Leave Records'!$F:$F,"&gt;="&amp;DATE(Config!$I$7,11,1),'Leave Records'!$F:$F,"&lt;="&amp;EOMONTH(DATE(Config!$I$7,11,1),0)))</f>
        <v>0</v>
      </c>
      <c r="O57" s="8">
        <f>IF($B57="","",SUMIFS('Leave Records'!$I:$I,'Leave Records'!$B:$B,$B57,'Leave Records'!$K:$K,"Approved",'Leave Records'!$F:$F,"&gt;="&amp;DATE(Config!$I$7,12,1),'Leave Records'!$F:$F,"&lt;="&amp;EOMONTH(DATE(Config!$I$7,12,1),0)))</f>
        <v>0</v>
      </c>
      <c r="P57" s="11">
        <f t="shared" si="1"/>
        <v>14</v>
      </c>
    </row>
    <row r="58" ht="17" customHeight="1" spans="1:16">
      <c r="A58" s="5" t="str">
        <f t="shared" si="0"/>
        <v/>
      </c>
      <c r="B58" s="12" t="str">
        <f>IF(Config!$B$60="","",Config!$B$60)</f>
        <v/>
      </c>
      <c r="C58" s="13" t="str">
        <f>IF(Config!$B$60="","",Config!$C$60)</f>
        <v/>
      </c>
      <c r="D58" s="9" t="str">
        <f>IF($B58="","",SUMIFS('Leave Records'!$I:$I,'Leave Records'!$B:$B,$B58,'Leave Records'!$K:$K,"Approved",'Leave Records'!$F:$F,"&gt;="&amp;DATE(Config!$I$7,1,1),'Leave Records'!$F:$F,"&lt;="&amp;EOMONTH(DATE(Config!$I$7,1,1),0)))</f>
        <v/>
      </c>
      <c r="E58" s="9" t="str">
        <f>IF($B58="","",SUMIFS('Leave Records'!$I:$I,'Leave Records'!$B:$B,$B58,'Leave Records'!$K:$K,"Approved",'Leave Records'!$F:$F,"&gt;="&amp;DATE(Config!$I$7,2,1),'Leave Records'!$F:$F,"&lt;="&amp;EOMONTH(DATE(Config!$I$7,2,1),0)))</f>
        <v/>
      </c>
      <c r="F58" s="9" t="str">
        <f>IF($B58="","",SUMIFS('Leave Records'!$I:$I,'Leave Records'!$B:$B,$B58,'Leave Records'!$K:$K,"Approved",'Leave Records'!$F:$F,"&gt;="&amp;DATE(Config!$I$7,3,1),'Leave Records'!$F:$F,"&lt;="&amp;EOMONTH(DATE(Config!$I$7,3,1),0)))</f>
        <v/>
      </c>
      <c r="G58" s="9" t="str">
        <f>IF($B58="","",SUMIFS('Leave Records'!$I:$I,'Leave Records'!$B:$B,$B58,'Leave Records'!$K:$K,"Approved",'Leave Records'!$F:$F,"&gt;="&amp;DATE(Config!$I$7,4,1),'Leave Records'!$F:$F,"&lt;="&amp;EOMONTH(DATE(Config!$I$7,4,1),0)))</f>
        <v/>
      </c>
      <c r="H58" s="9" t="str">
        <f>IF($B58="","",SUMIFS('Leave Records'!$I:$I,'Leave Records'!$B:$B,$B58,'Leave Records'!$K:$K,"Approved",'Leave Records'!$F:$F,"&gt;="&amp;DATE(Config!$I$7,5,1),'Leave Records'!$F:$F,"&lt;="&amp;EOMONTH(DATE(Config!$I$7,5,1),0)))</f>
        <v/>
      </c>
      <c r="I58" s="9" t="str">
        <f>IF($B58="","",SUMIFS('Leave Records'!$I:$I,'Leave Records'!$B:$B,$B58,'Leave Records'!$K:$K,"Approved",'Leave Records'!$F:$F,"&gt;="&amp;DATE(Config!$I$7,6,1),'Leave Records'!$F:$F,"&lt;="&amp;EOMONTH(DATE(Config!$I$7,6,1),0)))</f>
        <v/>
      </c>
      <c r="J58" s="9" t="str">
        <f>IF($B58="","",SUMIFS('Leave Records'!$I:$I,'Leave Records'!$B:$B,$B58,'Leave Records'!$K:$K,"Approved",'Leave Records'!$F:$F,"&gt;="&amp;DATE(Config!$I$7,7,1),'Leave Records'!$F:$F,"&lt;="&amp;EOMONTH(DATE(Config!$I$7,7,1),0)))</f>
        <v/>
      </c>
      <c r="K58" s="9" t="str">
        <f>IF($B58="","",SUMIFS('Leave Records'!$I:$I,'Leave Records'!$B:$B,$B58,'Leave Records'!$K:$K,"Approved",'Leave Records'!$F:$F,"&gt;="&amp;DATE(Config!$I$7,8,1),'Leave Records'!$F:$F,"&lt;="&amp;EOMONTH(DATE(Config!$I$7,8,1),0)))</f>
        <v/>
      </c>
      <c r="L58" s="9" t="str">
        <f>IF($B58="","",SUMIFS('Leave Records'!$I:$I,'Leave Records'!$B:$B,$B58,'Leave Records'!$K:$K,"Approved",'Leave Records'!$F:$F,"&gt;="&amp;DATE(Config!$I$7,9,1),'Leave Records'!$F:$F,"&lt;="&amp;EOMONTH(DATE(Config!$I$7,9,1),0)))</f>
        <v/>
      </c>
      <c r="M58" s="9" t="str">
        <f>IF($B58="","",SUMIFS('Leave Records'!$I:$I,'Leave Records'!$B:$B,$B58,'Leave Records'!$K:$K,"Approved",'Leave Records'!$F:$F,"&gt;="&amp;DATE(Config!$I$7,10,1),'Leave Records'!$F:$F,"&lt;="&amp;EOMONTH(DATE(Config!$I$7,10,1),0)))</f>
        <v/>
      </c>
      <c r="N58" s="9" t="str">
        <f>IF($B58="","",SUMIFS('Leave Records'!$I:$I,'Leave Records'!$B:$B,$B58,'Leave Records'!$K:$K,"Approved",'Leave Records'!$F:$F,"&gt;="&amp;DATE(Config!$I$7,11,1),'Leave Records'!$F:$F,"&lt;="&amp;EOMONTH(DATE(Config!$I$7,11,1),0)))</f>
        <v/>
      </c>
      <c r="O58" s="9" t="str">
        <f>IF($B58="","",SUMIFS('Leave Records'!$I:$I,'Leave Records'!$B:$B,$B58,'Leave Records'!$K:$K,"Approved",'Leave Records'!$F:$F,"&gt;="&amp;DATE(Config!$I$7,12,1),'Leave Records'!$F:$F,"&lt;="&amp;EOMONTH(DATE(Config!$I$7,12,1),0)))</f>
        <v/>
      </c>
      <c r="P58" s="14" t="str">
        <f t="shared" si="1"/>
        <v/>
      </c>
    </row>
    <row r="59" ht="17" customHeight="1" spans="1:16">
      <c r="A59" s="5" t="str">
        <f t="shared" si="0"/>
        <v/>
      </c>
      <c r="B59" s="6" t="str">
        <f>IF(Config!$B$61="","",Config!$B$61)</f>
        <v/>
      </c>
      <c r="C59" s="7" t="str">
        <f>IF(Config!$B$61="","",Config!$C$61)</f>
        <v/>
      </c>
      <c r="D59" s="8" t="str">
        <f>IF($B59="","",SUMIFS('Leave Records'!$I:$I,'Leave Records'!$B:$B,$B59,'Leave Records'!$K:$K,"Approved",'Leave Records'!$F:$F,"&gt;="&amp;DATE(Config!$I$7,1,1),'Leave Records'!$F:$F,"&lt;="&amp;EOMONTH(DATE(Config!$I$7,1,1),0)))</f>
        <v/>
      </c>
      <c r="E59" s="9" t="str">
        <f>IF($B59="","",SUMIFS('Leave Records'!$I:$I,'Leave Records'!$B:$B,$B59,'Leave Records'!$K:$K,"Approved",'Leave Records'!$F:$F,"&gt;="&amp;DATE(Config!$I$7,2,1),'Leave Records'!$F:$F,"&lt;="&amp;EOMONTH(DATE(Config!$I$7,2,1),0)))</f>
        <v/>
      </c>
      <c r="F59" s="8" t="str">
        <f>IF($B59="","",SUMIFS('Leave Records'!$I:$I,'Leave Records'!$B:$B,$B59,'Leave Records'!$K:$K,"Approved",'Leave Records'!$F:$F,"&gt;="&amp;DATE(Config!$I$7,3,1),'Leave Records'!$F:$F,"&lt;="&amp;EOMONTH(DATE(Config!$I$7,3,1),0)))</f>
        <v/>
      </c>
      <c r="G59" s="10" t="str">
        <f>IF($B59="","",SUMIFS('Leave Records'!$I:$I,'Leave Records'!$B:$B,$B59,'Leave Records'!$K:$K,"Approved",'Leave Records'!$F:$F,"&gt;="&amp;DATE(Config!$I$7,4,1),'Leave Records'!$F:$F,"&lt;="&amp;EOMONTH(DATE(Config!$I$7,4,1),0)))</f>
        <v/>
      </c>
      <c r="H59" s="10" t="str">
        <f>IF($B59="","",SUMIFS('Leave Records'!$I:$I,'Leave Records'!$B:$B,$B59,'Leave Records'!$K:$K,"Approved",'Leave Records'!$F:$F,"&gt;="&amp;DATE(Config!$I$7,5,1),'Leave Records'!$F:$F,"&lt;="&amp;EOMONTH(DATE(Config!$I$7,5,1),0)))</f>
        <v/>
      </c>
      <c r="I59" s="8" t="str">
        <f>IF($B59="","",SUMIFS('Leave Records'!$I:$I,'Leave Records'!$B:$B,$B59,'Leave Records'!$K:$K,"Approved",'Leave Records'!$F:$F,"&gt;="&amp;DATE(Config!$I$7,6,1),'Leave Records'!$F:$F,"&lt;="&amp;EOMONTH(DATE(Config!$I$7,6,1),0)))</f>
        <v/>
      </c>
      <c r="J59" s="8" t="str">
        <f>IF($B59="","",SUMIFS('Leave Records'!$I:$I,'Leave Records'!$B:$B,$B59,'Leave Records'!$K:$K,"Approved",'Leave Records'!$F:$F,"&gt;="&amp;DATE(Config!$I$7,7,1),'Leave Records'!$F:$F,"&lt;="&amp;EOMONTH(DATE(Config!$I$7,7,1),0)))</f>
        <v/>
      </c>
      <c r="K59" s="9" t="str">
        <f>IF($B59="","",SUMIFS('Leave Records'!$I:$I,'Leave Records'!$B:$B,$B59,'Leave Records'!$K:$K,"Approved",'Leave Records'!$F:$F,"&gt;="&amp;DATE(Config!$I$7,8,1),'Leave Records'!$F:$F,"&lt;="&amp;EOMONTH(DATE(Config!$I$7,8,1),0)))</f>
        <v/>
      </c>
      <c r="L59" s="8" t="str">
        <f>IF($B59="","",SUMIFS('Leave Records'!$I:$I,'Leave Records'!$B:$B,$B59,'Leave Records'!$K:$K,"Approved",'Leave Records'!$F:$F,"&gt;="&amp;DATE(Config!$I$7,9,1),'Leave Records'!$F:$F,"&lt;="&amp;EOMONTH(DATE(Config!$I$7,9,1),0)))</f>
        <v/>
      </c>
      <c r="M59" s="10" t="str">
        <f>IF($B59="","",SUMIFS('Leave Records'!$I:$I,'Leave Records'!$B:$B,$B59,'Leave Records'!$K:$K,"Approved",'Leave Records'!$F:$F,"&gt;="&amp;DATE(Config!$I$7,10,1),'Leave Records'!$F:$F,"&lt;="&amp;EOMONTH(DATE(Config!$I$7,10,1),0)))</f>
        <v/>
      </c>
      <c r="N59" s="10" t="str">
        <f>IF($B59="","",SUMIFS('Leave Records'!$I:$I,'Leave Records'!$B:$B,$B59,'Leave Records'!$K:$K,"Approved",'Leave Records'!$F:$F,"&gt;="&amp;DATE(Config!$I$7,11,1),'Leave Records'!$F:$F,"&lt;="&amp;EOMONTH(DATE(Config!$I$7,11,1),0)))</f>
        <v/>
      </c>
      <c r="O59" s="8" t="str">
        <f>IF($B59="","",SUMIFS('Leave Records'!$I:$I,'Leave Records'!$B:$B,$B59,'Leave Records'!$K:$K,"Approved",'Leave Records'!$F:$F,"&gt;="&amp;DATE(Config!$I$7,12,1),'Leave Records'!$F:$F,"&lt;="&amp;EOMONTH(DATE(Config!$I$7,12,1),0)))</f>
        <v/>
      </c>
      <c r="P59" s="11" t="str">
        <f t="shared" si="1"/>
        <v/>
      </c>
    </row>
    <row r="60" ht="17" customHeight="1" spans="1:16">
      <c r="A60" s="5" t="str">
        <f t="shared" si="0"/>
        <v/>
      </c>
      <c r="B60" s="12" t="str">
        <f>IF(Config!$B$62="","",Config!$B$62)</f>
        <v/>
      </c>
      <c r="C60" s="13" t="str">
        <f>IF(Config!$B$62="","",Config!$C$62)</f>
        <v/>
      </c>
      <c r="D60" s="9" t="str">
        <f>IF($B60="","",SUMIFS('Leave Records'!$I:$I,'Leave Records'!$B:$B,$B60,'Leave Records'!$K:$K,"Approved",'Leave Records'!$F:$F,"&gt;="&amp;DATE(Config!$I$7,1,1),'Leave Records'!$F:$F,"&lt;="&amp;EOMONTH(DATE(Config!$I$7,1,1),0)))</f>
        <v/>
      </c>
      <c r="E60" s="9" t="str">
        <f>IF($B60="","",SUMIFS('Leave Records'!$I:$I,'Leave Records'!$B:$B,$B60,'Leave Records'!$K:$K,"Approved",'Leave Records'!$F:$F,"&gt;="&amp;DATE(Config!$I$7,2,1),'Leave Records'!$F:$F,"&lt;="&amp;EOMONTH(DATE(Config!$I$7,2,1),0)))</f>
        <v/>
      </c>
      <c r="F60" s="9" t="str">
        <f>IF($B60="","",SUMIFS('Leave Records'!$I:$I,'Leave Records'!$B:$B,$B60,'Leave Records'!$K:$K,"Approved",'Leave Records'!$F:$F,"&gt;="&amp;DATE(Config!$I$7,3,1),'Leave Records'!$F:$F,"&lt;="&amp;EOMONTH(DATE(Config!$I$7,3,1),0)))</f>
        <v/>
      </c>
      <c r="G60" s="9" t="str">
        <f>IF($B60="","",SUMIFS('Leave Records'!$I:$I,'Leave Records'!$B:$B,$B60,'Leave Records'!$K:$K,"Approved",'Leave Records'!$F:$F,"&gt;="&amp;DATE(Config!$I$7,4,1),'Leave Records'!$F:$F,"&lt;="&amp;EOMONTH(DATE(Config!$I$7,4,1),0)))</f>
        <v/>
      </c>
      <c r="H60" s="9" t="str">
        <f>IF($B60="","",SUMIFS('Leave Records'!$I:$I,'Leave Records'!$B:$B,$B60,'Leave Records'!$K:$K,"Approved",'Leave Records'!$F:$F,"&gt;="&amp;DATE(Config!$I$7,5,1),'Leave Records'!$F:$F,"&lt;="&amp;EOMONTH(DATE(Config!$I$7,5,1),0)))</f>
        <v/>
      </c>
      <c r="I60" s="9" t="str">
        <f>IF($B60="","",SUMIFS('Leave Records'!$I:$I,'Leave Records'!$B:$B,$B60,'Leave Records'!$K:$K,"Approved",'Leave Records'!$F:$F,"&gt;="&amp;DATE(Config!$I$7,6,1),'Leave Records'!$F:$F,"&lt;="&amp;EOMONTH(DATE(Config!$I$7,6,1),0)))</f>
        <v/>
      </c>
      <c r="J60" s="9" t="str">
        <f>IF($B60="","",SUMIFS('Leave Records'!$I:$I,'Leave Records'!$B:$B,$B60,'Leave Records'!$K:$K,"Approved",'Leave Records'!$F:$F,"&gt;="&amp;DATE(Config!$I$7,7,1),'Leave Records'!$F:$F,"&lt;="&amp;EOMONTH(DATE(Config!$I$7,7,1),0)))</f>
        <v/>
      </c>
      <c r="K60" s="9" t="str">
        <f>IF($B60="","",SUMIFS('Leave Records'!$I:$I,'Leave Records'!$B:$B,$B60,'Leave Records'!$K:$K,"Approved",'Leave Records'!$F:$F,"&gt;="&amp;DATE(Config!$I$7,8,1),'Leave Records'!$F:$F,"&lt;="&amp;EOMONTH(DATE(Config!$I$7,8,1),0)))</f>
        <v/>
      </c>
      <c r="L60" s="9" t="str">
        <f>IF($B60="","",SUMIFS('Leave Records'!$I:$I,'Leave Records'!$B:$B,$B60,'Leave Records'!$K:$K,"Approved",'Leave Records'!$F:$F,"&gt;="&amp;DATE(Config!$I$7,9,1),'Leave Records'!$F:$F,"&lt;="&amp;EOMONTH(DATE(Config!$I$7,9,1),0)))</f>
        <v/>
      </c>
      <c r="M60" s="9" t="str">
        <f>IF($B60="","",SUMIFS('Leave Records'!$I:$I,'Leave Records'!$B:$B,$B60,'Leave Records'!$K:$K,"Approved",'Leave Records'!$F:$F,"&gt;="&amp;DATE(Config!$I$7,10,1),'Leave Records'!$F:$F,"&lt;="&amp;EOMONTH(DATE(Config!$I$7,10,1),0)))</f>
        <v/>
      </c>
      <c r="N60" s="9" t="str">
        <f>IF($B60="","",SUMIFS('Leave Records'!$I:$I,'Leave Records'!$B:$B,$B60,'Leave Records'!$K:$K,"Approved",'Leave Records'!$F:$F,"&gt;="&amp;DATE(Config!$I$7,11,1),'Leave Records'!$F:$F,"&lt;="&amp;EOMONTH(DATE(Config!$I$7,11,1),0)))</f>
        <v/>
      </c>
      <c r="O60" s="9" t="str">
        <f>IF($B60="","",SUMIFS('Leave Records'!$I:$I,'Leave Records'!$B:$B,$B60,'Leave Records'!$K:$K,"Approved",'Leave Records'!$F:$F,"&gt;="&amp;DATE(Config!$I$7,12,1),'Leave Records'!$F:$F,"&lt;="&amp;EOMONTH(DATE(Config!$I$7,12,1),0)))</f>
        <v/>
      </c>
      <c r="P60" s="14" t="str">
        <f t="shared" si="1"/>
        <v/>
      </c>
    </row>
    <row r="61" ht="17" customHeight="1" spans="1:16">
      <c r="A61" s="5" t="str">
        <f t="shared" si="0"/>
        <v/>
      </c>
      <c r="B61" s="6" t="str">
        <f>IF(Config!$B$63="","",Config!$B$63)</f>
        <v/>
      </c>
      <c r="C61" s="7" t="str">
        <f>IF(Config!$B$63="","",Config!$C$63)</f>
        <v/>
      </c>
      <c r="D61" s="8" t="str">
        <f>IF($B61="","",SUMIFS('Leave Records'!$I:$I,'Leave Records'!$B:$B,$B61,'Leave Records'!$K:$K,"Approved",'Leave Records'!$F:$F,"&gt;="&amp;DATE(Config!$I$7,1,1),'Leave Records'!$F:$F,"&lt;="&amp;EOMONTH(DATE(Config!$I$7,1,1),0)))</f>
        <v/>
      </c>
      <c r="E61" s="9" t="str">
        <f>IF($B61="","",SUMIFS('Leave Records'!$I:$I,'Leave Records'!$B:$B,$B61,'Leave Records'!$K:$K,"Approved",'Leave Records'!$F:$F,"&gt;="&amp;DATE(Config!$I$7,2,1),'Leave Records'!$F:$F,"&lt;="&amp;EOMONTH(DATE(Config!$I$7,2,1),0)))</f>
        <v/>
      </c>
      <c r="F61" s="8" t="str">
        <f>IF($B61="","",SUMIFS('Leave Records'!$I:$I,'Leave Records'!$B:$B,$B61,'Leave Records'!$K:$K,"Approved",'Leave Records'!$F:$F,"&gt;="&amp;DATE(Config!$I$7,3,1),'Leave Records'!$F:$F,"&lt;="&amp;EOMONTH(DATE(Config!$I$7,3,1),0)))</f>
        <v/>
      </c>
      <c r="G61" s="10" t="str">
        <f>IF($B61="","",SUMIFS('Leave Records'!$I:$I,'Leave Records'!$B:$B,$B61,'Leave Records'!$K:$K,"Approved",'Leave Records'!$F:$F,"&gt;="&amp;DATE(Config!$I$7,4,1),'Leave Records'!$F:$F,"&lt;="&amp;EOMONTH(DATE(Config!$I$7,4,1),0)))</f>
        <v/>
      </c>
      <c r="H61" s="10" t="str">
        <f>IF($B61="","",SUMIFS('Leave Records'!$I:$I,'Leave Records'!$B:$B,$B61,'Leave Records'!$K:$K,"Approved",'Leave Records'!$F:$F,"&gt;="&amp;DATE(Config!$I$7,5,1),'Leave Records'!$F:$F,"&lt;="&amp;EOMONTH(DATE(Config!$I$7,5,1),0)))</f>
        <v/>
      </c>
      <c r="I61" s="8" t="str">
        <f>IF($B61="","",SUMIFS('Leave Records'!$I:$I,'Leave Records'!$B:$B,$B61,'Leave Records'!$K:$K,"Approved",'Leave Records'!$F:$F,"&gt;="&amp;DATE(Config!$I$7,6,1),'Leave Records'!$F:$F,"&lt;="&amp;EOMONTH(DATE(Config!$I$7,6,1),0)))</f>
        <v/>
      </c>
      <c r="J61" s="8" t="str">
        <f>IF($B61="","",SUMIFS('Leave Records'!$I:$I,'Leave Records'!$B:$B,$B61,'Leave Records'!$K:$K,"Approved",'Leave Records'!$F:$F,"&gt;="&amp;DATE(Config!$I$7,7,1),'Leave Records'!$F:$F,"&lt;="&amp;EOMONTH(DATE(Config!$I$7,7,1),0)))</f>
        <v/>
      </c>
      <c r="K61" s="9" t="str">
        <f>IF($B61="","",SUMIFS('Leave Records'!$I:$I,'Leave Records'!$B:$B,$B61,'Leave Records'!$K:$K,"Approved",'Leave Records'!$F:$F,"&gt;="&amp;DATE(Config!$I$7,8,1),'Leave Records'!$F:$F,"&lt;="&amp;EOMONTH(DATE(Config!$I$7,8,1),0)))</f>
        <v/>
      </c>
      <c r="L61" s="8" t="str">
        <f>IF($B61="","",SUMIFS('Leave Records'!$I:$I,'Leave Records'!$B:$B,$B61,'Leave Records'!$K:$K,"Approved",'Leave Records'!$F:$F,"&gt;="&amp;DATE(Config!$I$7,9,1),'Leave Records'!$F:$F,"&lt;="&amp;EOMONTH(DATE(Config!$I$7,9,1),0)))</f>
        <v/>
      </c>
      <c r="M61" s="10" t="str">
        <f>IF($B61="","",SUMIFS('Leave Records'!$I:$I,'Leave Records'!$B:$B,$B61,'Leave Records'!$K:$K,"Approved",'Leave Records'!$F:$F,"&gt;="&amp;DATE(Config!$I$7,10,1),'Leave Records'!$F:$F,"&lt;="&amp;EOMONTH(DATE(Config!$I$7,10,1),0)))</f>
        <v/>
      </c>
      <c r="N61" s="10" t="str">
        <f>IF($B61="","",SUMIFS('Leave Records'!$I:$I,'Leave Records'!$B:$B,$B61,'Leave Records'!$K:$K,"Approved",'Leave Records'!$F:$F,"&gt;="&amp;DATE(Config!$I$7,11,1),'Leave Records'!$F:$F,"&lt;="&amp;EOMONTH(DATE(Config!$I$7,11,1),0)))</f>
        <v/>
      </c>
      <c r="O61" s="8" t="str">
        <f>IF($B61="","",SUMIFS('Leave Records'!$I:$I,'Leave Records'!$B:$B,$B61,'Leave Records'!$K:$K,"Approved",'Leave Records'!$F:$F,"&gt;="&amp;DATE(Config!$I$7,12,1),'Leave Records'!$F:$F,"&lt;="&amp;EOMONTH(DATE(Config!$I$7,12,1),0)))</f>
        <v/>
      </c>
      <c r="P61" s="11" t="str">
        <f t="shared" si="1"/>
        <v/>
      </c>
    </row>
    <row r="62" ht="17" customHeight="1" spans="1:16">
      <c r="A62" s="5" t="str">
        <f t="shared" si="0"/>
        <v/>
      </c>
      <c r="B62" s="12" t="str">
        <f>IF(Config!$B$64="","",Config!$B$64)</f>
        <v/>
      </c>
      <c r="C62" s="13" t="str">
        <f>IF(Config!$B$64="","",Config!$C$64)</f>
        <v/>
      </c>
      <c r="D62" s="9" t="str">
        <f>IF($B62="","",SUMIFS('Leave Records'!$I:$I,'Leave Records'!$B:$B,$B62,'Leave Records'!$K:$K,"Approved",'Leave Records'!$F:$F,"&gt;="&amp;DATE(Config!$I$7,1,1),'Leave Records'!$F:$F,"&lt;="&amp;EOMONTH(DATE(Config!$I$7,1,1),0)))</f>
        <v/>
      </c>
      <c r="E62" s="9" t="str">
        <f>IF($B62="","",SUMIFS('Leave Records'!$I:$I,'Leave Records'!$B:$B,$B62,'Leave Records'!$K:$K,"Approved",'Leave Records'!$F:$F,"&gt;="&amp;DATE(Config!$I$7,2,1),'Leave Records'!$F:$F,"&lt;="&amp;EOMONTH(DATE(Config!$I$7,2,1),0)))</f>
        <v/>
      </c>
      <c r="F62" s="9" t="str">
        <f>IF($B62="","",SUMIFS('Leave Records'!$I:$I,'Leave Records'!$B:$B,$B62,'Leave Records'!$K:$K,"Approved",'Leave Records'!$F:$F,"&gt;="&amp;DATE(Config!$I$7,3,1),'Leave Records'!$F:$F,"&lt;="&amp;EOMONTH(DATE(Config!$I$7,3,1),0)))</f>
        <v/>
      </c>
      <c r="G62" s="9" t="str">
        <f>IF($B62="","",SUMIFS('Leave Records'!$I:$I,'Leave Records'!$B:$B,$B62,'Leave Records'!$K:$K,"Approved",'Leave Records'!$F:$F,"&gt;="&amp;DATE(Config!$I$7,4,1),'Leave Records'!$F:$F,"&lt;="&amp;EOMONTH(DATE(Config!$I$7,4,1),0)))</f>
        <v/>
      </c>
      <c r="H62" s="9" t="str">
        <f>IF($B62="","",SUMIFS('Leave Records'!$I:$I,'Leave Records'!$B:$B,$B62,'Leave Records'!$K:$K,"Approved",'Leave Records'!$F:$F,"&gt;="&amp;DATE(Config!$I$7,5,1),'Leave Records'!$F:$F,"&lt;="&amp;EOMONTH(DATE(Config!$I$7,5,1),0)))</f>
        <v/>
      </c>
      <c r="I62" s="9" t="str">
        <f>IF($B62="","",SUMIFS('Leave Records'!$I:$I,'Leave Records'!$B:$B,$B62,'Leave Records'!$K:$K,"Approved",'Leave Records'!$F:$F,"&gt;="&amp;DATE(Config!$I$7,6,1),'Leave Records'!$F:$F,"&lt;="&amp;EOMONTH(DATE(Config!$I$7,6,1),0)))</f>
        <v/>
      </c>
      <c r="J62" s="9" t="str">
        <f>IF($B62="","",SUMIFS('Leave Records'!$I:$I,'Leave Records'!$B:$B,$B62,'Leave Records'!$K:$K,"Approved",'Leave Records'!$F:$F,"&gt;="&amp;DATE(Config!$I$7,7,1),'Leave Records'!$F:$F,"&lt;="&amp;EOMONTH(DATE(Config!$I$7,7,1),0)))</f>
        <v/>
      </c>
      <c r="K62" s="9" t="str">
        <f>IF($B62="","",SUMIFS('Leave Records'!$I:$I,'Leave Records'!$B:$B,$B62,'Leave Records'!$K:$K,"Approved",'Leave Records'!$F:$F,"&gt;="&amp;DATE(Config!$I$7,8,1),'Leave Records'!$F:$F,"&lt;="&amp;EOMONTH(DATE(Config!$I$7,8,1),0)))</f>
        <v/>
      </c>
      <c r="L62" s="9" t="str">
        <f>IF($B62="","",SUMIFS('Leave Records'!$I:$I,'Leave Records'!$B:$B,$B62,'Leave Records'!$K:$K,"Approved",'Leave Records'!$F:$F,"&gt;="&amp;DATE(Config!$I$7,9,1),'Leave Records'!$F:$F,"&lt;="&amp;EOMONTH(DATE(Config!$I$7,9,1),0)))</f>
        <v/>
      </c>
      <c r="M62" s="9" t="str">
        <f>IF($B62="","",SUMIFS('Leave Records'!$I:$I,'Leave Records'!$B:$B,$B62,'Leave Records'!$K:$K,"Approved",'Leave Records'!$F:$F,"&gt;="&amp;DATE(Config!$I$7,10,1),'Leave Records'!$F:$F,"&lt;="&amp;EOMONTH(DATE(Config!$I$7,10,1),0)))</f>
        <v/>
      </c>
      <c r="N62" s="9" t="str">
        <f>IF($B62="","",SUMIFS('Leave Records'!$I:$I,'Leave Records'!$B:$B,$B62,'Leave Records'!$K:$K,"Approved",'Leave Records'!$F:$F,"&gt;="&amp;DATE(Config!$I$7,11,1),'Leave Records'!$F:$F,"&lt;="&amp;EOMONTH(DATE(Config!$I$7,11,1),0)))</f>
        <v/>
      </c>
      <c r="O62" s="9" t="str">
        <f>IF($B62="","",SUMIFS('Leave Records'!$I:$I,'Leave Records'!$B:$B,$B62,'Leave Records'!$K:$K,"Approved",'Leave Records'!$F:$F,"&gt;="&amp;DATE(Config!$I$7,12,1),'Leave Records'!$F:$F,"&lt;="&amp;EOMONTH(DATE(Config!$I$7,12,1),0)))</f>
        <v/>
      </c>
      <c r="P62" s="14" t="str">
        <f t="shared" si="1"/>
        <v/>
      </c>
    </row>
    <row r="63" ht="17" customHeight="1" spans="1:16">
      <c r="A63" s="5" t="str">
        <f t="shared" si="0"/>
        <v/>
      </c>
      <c r="B63" s="6" t="str">
        <f>IF(Config!$B$65="","",Config!$B$65)</f>
        <v/>
      </c>
      <c r="C63" s="7" t="str">
        <f>IF(Config!$B$65="","",Config!$C$65)</f>
        <v/>
      </c>
      <c r="D63" s="8" t="str">
        <f>IF($B63="","",SUMIFS('Leave Records'!$I:$I,'Leave Records'!$B:$B,$B63,'Leave Records'!$K:$K,"Approved",'Leave Records'!$F:$F,"&gt;="&amp;DATE(Config!$I$7,1,1),'Leave Records'!$F:$F,"&lt;="&amp;EOMONTH(DATE(Config!$I$7,1,1),0)))</f>
        <v/>
      </c>
      <c r="E63" s="9" t="str">
        <f>IF($B63="","",SUMIFS('Leave Records'!$I:$I,'Leave Records'!$B:$B,$B63,'Leave Records'!$K:$K,"Approved",'Leave Records'!$F:$F,"&gt;="&amp;DATE(Config!$I$7,2,1),'Leave Records'!$F:$F,"&lt;="&amp;EOMONTH(DATE(Config!$I$7,2,1),0)))</f>
        <v/>
      </c>
      <c r="F63" s="8" t="str">
        <f>IF($B63="","",SUMIFS('Leave Records'!$I:$I,'Leave Records'!$B:$B,$B63,'Leave Records'!$K:$K,"Approved",'Leave Records'!$F:$F,"&gt;="&amp;DATE(Config!$I$7,3,1),'Leave Records'!$F:$F,"&lt;="&amp;EOMONTH(DATE(Config!$I$7,3,1),0)))</f>
        <v/>
      </c>
      <c r="G63" s="10" t="str">
        <f>IF($B63="","",SUMIFS('Leave Records'!$I:$I,'Leave Records'!$B:$B,$B63,'Leave Records'!$K:$K,"Approved",'Leave Records'!$F:$F,"&gt;="&amp;DATE(Config!$I$7,4,1),'Leave Records'!$F:$F,"&lt;="&amp;EOMONTH(DATE(Config!$I$7,4,1),0)))</f>
        <v/>
      </c>
      <c r="H63" s="10" t="str">
        <f>IF($B63="","",SUMIFS('Leave Records'!$I:$I,'Leave Records'!$B:$B,$B63,'Leave Records'!$K:$K,"Approved",'Leave Records'!$F:$F,"&gt;="&amp;DATE(Config!$I$7,5,1),'Leave Records'!$F:$F,"&lt;="&amp;EOMONTH(DATE(Config!$I$7,5,1),0)))</f>
        <v/>
      </c>
      <c r="I63" s="8" t="str">
        <f>IF($B63="","",SUMIFS('Leave Records'!$I:$I,'Leave Records'!$B:$B,$B63,'Leave Records'!$K:$K,"Approved",'Leave Records'!$F:$F,"&gt;="&amp;DATE(Config!$I$7,6,1),'Leave Records'!$F:$F,"&lt;="&amp;EOMONTH(DATE(Config!$I$7,6,1),0)))</f>
        <v/>
      </c>
      <c r="J63" s="8" t="str">
        <f>IF($B63="","",SUMIFS('Leave Records'!$I:$I,'Leave Records'!$B:$B,$B63,'Leave Records'!$K:$K,"Approved",'Leave Records'!$F:$F,"&gt;="&amp;DATE(Config!$I$7,7,1),'Leave Records'!$F:$F,"&lt;="&amp;EOMONTH(DATE(Config!$I$7,7,1),0)))</f>
        <v/>
      </c>
      <c r="K63" s="9" t="str">
        <f>IF($B63="","",SUMIFS('Leave Records'!$I:$I,'Leave Records'!$B:$B,$B63,'Leave Records'!$K:$K,"Approved",'Leave Records'!$F:$F,"&gt;="&amp;DATE(Config!$I$7,8,1),'Leave Records'!$F:$F,"&lt;="&amp;EOMONTH(DATE(Config!$I$7,8,1),0)))</f>
        <v/>
      </c>
      <c r="L63" s="8" t="str">
        <f>IF($B63="","",SUMIFS('Leave Records'!$I:$I,'Leave Records'!$B:$B,$B63,'Leave Records'!$K:$K,"Approved",'Leave Records'!$F:$F,"&gt;="&amp;DATE(Config!$I$7,9,1),'Leave Records'!$F:$F,"&lt;="&amp;EOMONTH(DATE(Config!$I$7,9,1),0)))</f>
        <v/>
      </c>
      <c r="M63" s="10" t="str">
        <f>IF($B63="","",SUMIFS('Leave Records'!$I:$I,'Leave Records'!$B:$B,$B63,'Leave Records'!$K:$K,"Approved",'Leave Records'!$F:$F,"&gt;="&amp;DATE(Config!$I$7,10,1),'Leave Records'!$F:$F,"&lt;="&amp;EOMONTH(DATE(Config!$I$7,10,1),0)))</f>
        <v/>
      </c>
      <c r="N63" s="10" t="str">
        <f>IF($B63="","",SUMIFS('Leave Records'!$I:$I,'Leave Records'!$B:$B,$B63,'Leave Records'!$K:$K,"Approved",'Leave Records'!$F:$F,"&gt;="&amp;DATE(Config!$I$7,11,1),'Leave Records'!$F:$F,"&lt;="&amp;EOMONTH(DATE(Config!$I$7,11,1),0)))</f>
        <v/>
      </c>
      <c r="O63" s="8" t="str">
        <f>IF($B63="","",SUMIFS('Leave Records'!$I:$I,'Leave Records'!$B:$B,$B63,'Leave Records'!$K:$K,"Approved",'Leave Records'!$F:$F,"&gt;="&amp;DATE(Config!$I$7,12,1),'Leave Records'!$F:$F,"&lt;="&amp;EOMONTH(DATE(Config!$I$7,12,1),0)))</f>
        <v/>
      </c>
      <c r="P63" s="11" t="str">
        <f t="shared" si="1"/>
        <v/>
      </c>
    </row>
    <row r="64" ht="17" customHeight="1" spans="1:16">
      <c r="A64" s="5" t="str">
        <f t="shared" si="0"/>
        <v/>
      </c>
      <c r="B64" s="12" t="str">
        <f>IF(Config!$B$66="","",Config!$B$66)</f>
        <v/>
      </c>
      <c r="C64" s="13" t="str">
        <f>IF(Config!$B$66="","",Config!$C$66)</f>
        <v/>
      </c>
      <c r="D64" s="9" t="str">
        <f>IF($B64="","",SUMIFS('Leave Records'!$I:$I,'Leave Records'!$B:$B,$B64,'Leave Records'!$K:$K,"Approved",'Leave Records'!$F:$F,"&gt;="&amp;DATE(Config!$I$7,1,1),'Leave Records'!$F:$F,"&lt;="&amp;EOMONTH(DATE(Config!$I$7,1,1),0)))</f>
        <v/>
      </c>
      <c r="E64" s="9" t="str">
        <f>IF($B64="","",SUMIFS('Leave Records'!$I:$I,'Leave Records'!$B:$B,$B64,'Leave Records'!$K:$K,"Approved",'Leave Records'!$F:$F,"&gt;="&amp;DATE(Config!$I$7,2,1),'Leave Records'!$F:$F,"&lt;="&amp;EOMONTH(DATE(Config!$I$7,2,1),0)))</f>
        <v/>
      </c>
      <c r="F64" s="9" t="str">
        <f>IF($B64="","",SUMIFS('Leave Records'!$I:$I,'Leave Records'!$B:$B,$B64,'Leave Records'!$K:$K,"Approved",'Leave Records'!$F:$F,"&gt;="&amp;DATE(Config!$I$7,3,1),'Leave Records'!$F:$F,"&lt;="&amp;EOMONTH(DATE(Config!$I$7,3,1),0)))</f>
        <v/>
      </c>
      <c r="G64" s="9" t="str">
        <f>IF($B64="","",SUMIFS('Leave Records'!$I:$I,'Leave Records'!$B:$B,$B64,'Leave Records'!$K:$K,"Approved",'Leave Records'!$F:$F,"&gt;="&amp;DATE(Config!$I$7,4,1),'Leave Records'!$F:$F,"&lt;="&amp;EOMONTH(DATE(Config!$I$7,4,1),0)))</f>
        <v/>
      </c>
      <c r="H64" s="9" t="str">
        <f>IF($B64="","",SUMIFS('Leave Records'!$I:$I,'Leave Records'!$B:$B,$B64,'Leave Records'!$K:$K,"Approved",'Leave Records'!$F:$F,"&gt;="&amp;DATE(Config!$I$7,5,1),'Leave Records'!$F:$F,"&lt;="&amp;EOMONTH(DATE(Config!$I$7,5,1),0)))</f>
        <v/>
      </c>
      <c r="I64" s="9" t="str">
        <f>IF($B64="","",SUMIFS('Leave Records'!$I:$I,'Leave Records'!$B:$B,$B64,'Leave Records'!$K:$K,"Approved",'Leave Records'!$F:$F,"&gt;="&amp;DATE(Config!$I$7,6,1),'Leave Records'!$F:$F,"&lt;="&amp;EOMONTH(DATE(Config!$I$7,6,1),0)))</f>
        <v/>
      </c>
      <c r="J64" s="9" t="str">
        <f>IF($B64="","",SUMIFS('Leave Records'!$I:$I,'Leave Records'!$B:$B,$B64,'Leave Records'!$K:$K,"Approved",'Leave Records'!$F:$F,"&gt;="&amp;DATE(Config!$I$7,7,1),'Leave Records'!$F:$F,"&lt;="&amp;EOMONTH(DATE(Config!$I$7,7,1),0)))</f>
        <v/>
      </c>
      <c r="K64" s="9" t="str">
        <f>IF($B64="","",SUMIFS('Leave Records'!$I:$I,'Leave Records'!$B:$B,$B64,'Leave Records'!$K:$K,"Approved",'Leave Records'!$F:$F,"&gt;="&amp;DATE(Config!$I$7,8,1),'Leave Records'!$F:$F,"&lt;="&amp;EOMONTH(DATE(Config!$I$7,8,1),0)))</f>
        <v/>
      </c>
      <c r="L64" s="9" t="str">
        <f>IF($B64="","",SUMIFS('Leave Records'!$I:$I,'Leave Records'!$B:$B,$B64,'Leave Records'!$K:$K,"Approved",'Leave Records'!$F:$F,"&gt;="&amp;DATE(Config!$I$7,9,1),'Leave Records'!$F:$F,"&lt;="&amp;EOMONTH(DATE(Config!$I$7,9,1),0)))</f>
        <v/>
      </c>
      <c r="M64" s="9" t="str">
        <f>IF($B64="","",SUMIFS('Leave Records'!$I:$I,'Leave Records'!$B:$B,$B64,'Leave Records'!$K:$K,"Approved",'Leave Records'!$F:$F,"&gt;="&amp;DATE(Config!$I$7,10,1),'Leave Records'!$F:$F,"&lt;="&amp;EOMONTH(DATE(Config!$I$7,10,1),0)))</f>
        <v/>
      </c>
      <c r="N64" s="9" t="str">
        <f>IF($B64="","",SUMIFS('Leave Records'!$I:$I,'Leave Records'!$B:$B,$B64,'Leave Records'!$K:$K,"Approved",'Leave Records'!$F:$F,"&gt;="&amp;DATE(Config!$I$7,11,1),'Leave Records'!$F:$F,"&lt;="&amp;EOMONTH(DATE(Config!$I$7,11,1),0)))</f>
        <v/>
      </c>
      <c r="O64" s="9" t="str">
        <f>IF($B64="","",SUMIFS('Leave Records'!$I:$I,'Leave Records'!$B:$B,$B64,'Leave Records'!$K:$K,"Approved",'Leave Records'!$F:$F,"&gt;="&amp;DATE(Config!$I$7,12,1),'Leave Records'!$F:$F,"&lt;="&amp;EOMONTH(DATE(Config!$I$7,12,1),0)))</f>
        <v/>
      </c>
      <c r="P64" s="14" t="str">
        <f t="shared" si="1"/>
        <v/>
      </c>
    </row>
    <row r="65" ht="17" customHeight="1" spans="1:16">
      <c r="A65" s="5" t="str">
        <f t="shared" si="0"/>
        <v/>
      </c>
      <c r="B65" s="6" t="str">
        <f>IF(Config!$B$67="","",Config!$B$67)</f>
        <v/>
      </c>
      <c r="C65" s="7" t="str">
        <f>IF(Config!$B$67="","",Config!$C$67)</f>
        <v/>
      </c>
      <c r="D65" s="8" t="str">
        <f>IF($B65="","",SUMIFS('Leave Records'!$I:$I,'Leave Records'!$B:$B,$B65,'Leave Records'!$K:$K,"Approved",'Leave Records'!$F:$F,"&gt;="&amp;DATE(Config!$I$7,1,1),'Leave Records'!$F:$F,"&lt;="&amp;EOMONTH(DATE(Config!$I$7,1,1),0)))</f>
        <v/>
      </c>
      <c r="E65" s="9" t="str">
        <f>IF($B65="","",SUMIFS('Leave Records'!$I:$I,'Leave Records'!$B:$B,$B65,'Leave Records'!$K:$K,"Approved",'Leave Records'!$F:$F,"&gt;="&amp;DATE(Config!$I$7,2,1),'Leave Records'!$F:$F,"&lt;="&amp;EOMONTH(DATE(Config!$I$7,2,1),0)))</f>
        <v/>
      </c>
      <c r="F65" s="8" t="str">
        <f>IF($B65="","",SUMIFS('Leave Records'!$I:$I,'Leave Records'!$B:$B,$B65,'Leave Records'!$K:$K,"Approved",'Leave Records'!$F:$F,"&gt;="&amp;DATE(Config!$I$7,3,1),'Leave Records'!$F:$F,"&lt;="&amp;EOMONTH(DATE(Config!$I$7,3,1),0)))</f>
        <v/>
      </c>
      <c r="G65" s="10" t="str">
        <f>IF($B65="","",SUMIFS('Leave Records'!$I:$I,'Leave Records'!$B:$B,$B65,'Leave Records'!$K:$K,"Approved",'Leave Records'!$F:$F,"&gt;="&amp;DATE(Config!$I$7,4,1),'Leave Records'!$F:$F,"&lt;="&amp;EOMONTH(DATE(Config!$I$7,4,1),0)))</f>
        <v/>
      </c>
      <c r="H65" s="10" t="str">
        <f>IF($B65="","",SUMIFS('Leave Records'!$I:$I,'Leave Records'!$B:$B,$B65,'Leave Records'!$K:$K,"Approved",'Leave Records'!$F:$F,"&gt;="&amp;DATE(Config!$I$7,5,1),'Leave Records'!$F:$F,"&lt;="&amp;EOMONTH(DATE(Config!$I$7,5,1),0)))</f>
        <v/>
      </c>
      <c r="I65" s="8" t="str">
        <f>IF($B65="","",SUMIFS('Leave Records'!$I:$I,'Leave Records'!$B:$B,$B65,'Leave Records'!$K:$K,"Approved",'Leave Records'!$F:$F,"&gt;="&amp;DATE(Config!$I$7,6,1),'Leave Records'!$F:$F,"&lt;="&amp;EOMONTH(DATE(Config!$I$7,6,1),0)))</f>
        <v/>
      </c>
      <c r="J65" s="8" t="str">
        <f>IF($B65="","",SUMIFS('Leave Records'!$I:$I,'Leave Records'!$B:$B,$B65,'Leave Records'!$K:$K,"Approved",'Leave Records'!$F:$F,"&gt;="&amp;DATE(Config!$I$7,7,1),'Leave Records'!$F:$F,"&lt;="&amp;EOMONTH(DATE(Config!$I$7,7,1),0)))</f>
        <v/>
      </c>
      <c r="K65" s="9" t="str">
        <f>IF($B65="","",SUMIFS('Leave Records'!$I:$I,'Leave Records'!$B:$B,$B65,'Leave Records'!$K:$K,"Approved",'Leave Records'!$F:$F,"&gt;="&amp;DATE(Config!$I$7,8,1),'Leave Records'!$F:$F,"&lt;="&amp;EOMONTH(DATE(Config!$I$7,8,1),0)))</f>
        <v/>
      </c>
      <c r="L65" s="8" t="str">
        <f>IF($B65="","",SUMIFS('Leave Records'!$I:$I,'Leave Records'!$B:$B,$B65,'Leave Records'!$K:$K,"Approved",'Leave Records'!$F:$F,"&gt;="&amp;DATE(Config!$I$7,9,1),'Leave Records'!$F:$F,"&lt;="&amp;EOMONTH(DATE(Config!$I$7,9,1),0)))</f>
        <v/>
      </c>
      <c r="M65" s="10" t="str">
        <f>IF($B65="","",SUMIFS('Leave Records'!$I:$I,'Leave Records'!$B:$B,$B65,'Leave Records'!$K:$K,"Approved",'Leave Records'!$F:$F,"&gt;="&amp;DATE(Config!$I$7,10,1),'Leave Records'!$F:$F,"&lt;="&amp;EOMONTH(DATE(Config!$I$7,10,1),0)))</f>
        <v/>
      </c>
      <c r="N65" s="10" t="str">
        <f>IF($B65="","",SUMIFS('Leave Records'!$I:$I,'Leave Records'!$B:$B,$B65,'Leave Records'!$K:$K,"Approved",'Leave Records'!$F:$F,"&gt;="&amp;DATE(Config!$I$7,11,1),'Leave Records'!$F:$F,"&lt;="&amp;EOMONTH(DATE(Config!$I$7,11,1),0)))</f>
        <v/>
      </c>
      <c r="O65" s="8" t="str">
        <f>IF($B65="","",SUMIFS('Leave Records'!$I:$I,'Leave Records'!$B:$B,$B65,'Leave Records'!$K:$K,"Approved",'Leave Records'!$F:$F,"&gt;="&amp;DATE(Config!$I$7,12,1),'Leave Records'!$F:$F,"&lt;="&amp;EOMONTH(DATE(Config!$I$7,12,1),0)))</f>
        <v/>
      </c>
      <c r="P65" s="11" t="str">
        <f t="shared" si="1"/>
        <v/>
      </c>
    </row>
    <row r="66" ht="17" customHeight="1" spans="1:16">
      <c r="A66" s="5" t="str">
        <f t="shared" si="0"/>
        <v/>
      </c>
      <c r="B66" s="12" t="str">
        <f>IF(Config!$B$68="","",Config!$B$68)</f>
        <v/>
      </c>
      <c r="C66" s="13" t="str">
        <f>IF(Config!$B$68="","",Config!$C$68)</f>
        <v/>
      </c>
      <c r="D66" s="9" t="str">
        <f>IF($B66="","",SUMIFS('Leave Records'!$I:$I,'Leave Records'!$B:$B,$B66,'Leave Records'!$K:$K,"Approved",'Leave Records'!$F:$F,"&gt;="&amp;DATE(Config!$I$7,1,1),'Leave Records'!$F:$F,"&lt;="&amp;EOMONTH(DATE(Config!$I$7,1,1),0)))</f>
        <v/>
      </c>
      <c r="E66" s="9" t="str">
        <f>IF($B66="","",SUMIFS('Leave Records'!$I:$I,'Leave Records'!$B:$B,$B66,'Leave Records'!$K:$K,"Approved",'Leave Records'!$F:$F,"&gt;="&amp;DATE(Config!$I$7,2,1),'Leave Records'!$F:$F,"&lt;="&amp;EOMONTH(DATE(Config!$I$7,2,1),0)))</f>
        <v/>
      </c>
      <c r="F66" s="9" t="str">
        <f>IF($B66="","",SUMIFS('Leave Records'!$I:$I,'Leave Records'!$B:$B,$B66,'Leave Records'!$K:$K,"Approved",'Leave Records'!$F:$F,"&gt;="&amp;DATE(Config!$I$7,3,1),'Leave Records'!$F:$F,"&lt;="&amp;EOMONTH(DATE(Config!$I$7,3,1),0)))</f>
        <v/>
      </c>
      <c r="G66" s="9" t="str">
        <f>IF($B66="","",SUMIFS('Leave Records'!$I:$I,'Leave Records'!$B:$B,$B66,'Leave Records'!$K:$K,"Approved",'Leave Records'!$F:$F,"&gt;="&amp;DATE(Config!$I$7,4,1),'Leave Records'!$F:$F,"&lt;="&amp;EOMONTH(DATE(Config!$I$7,4,1),0)))</f>
        <v/>
      </c>
      <c r="H66" s="9" t="str">
        <f>IF($B66="","",SUMIFS('Leave Records'!$I:$I,'Leave Records'!$B:$B,$B66,'Leave Records'!$K:$K,"Approved",'Leave Records'!$F:$F,"&gt;="&amp;DATE(Config!$I$7,5,1),'Leave Records'!$F:$F,"&lt;="&amp;EOMONTH(DATE(Config!$I$7,5,1),0)))</f>
        <v/>
      </c>
      <c r="I66" s="9" t="str">
        <f>IF($B66="","",SUMIFS('Leave Records'!$I:$I,'Leave Records'!$B:$B,$B66,'Leave Records'!$K:$K,"Approved",'Leave Records'!$F:$F,"&gt;="&amp;DATE(Config!$I$7,6,1),'Leave Records'!$F:$F,"&lt;="&amp;EOMONTH(DATE(Config!$I$7,6,1),0)))</f>
        <v/>
      </c>
      <c r="J66" s="9" t="str">
        <f>IF($B66="","",SUMIFS('Leave Records'!$I:$I,'Leave Records'!$B:$B,$B66,'Leave Records'!$K:$K,"Approved",'Leave Records'!$F:$F,"&gt;="&amp;DATE(Config!$I$7,7,1),'Leave Records'!$F:$F,"&lt;="&amp;EOMONTH(DATE(Config!$I$7,7,1),0)))</f>
        <v/>
      </c>
      <c r="K66" s="9" t="str">
        <f>IF($B66="","",SUMIFS('Leave Records'!$I:$I,'Leave Records'!$B:$B,$B66,'Leave Records'!$K:$K,"Approved",'Leave Records'!$F:$F,"&gt;="&amp;DATE(Config!$I$7,8,1),'Leave Records'!$F:$F,"&lt;="&amp;EOMONTH(DATE(Config!$I$7,8,1),0)))</f>
        <v/>
      </c>
      <c r="L66" s="9" t="str">
        <f>IF($B66="","",SUMIFS('Leave Records'!$I:$I,'Leave Records'!$B:$B,$B66,'Leave Records'!$K:$K,"Approved",'Leave Records'!$F:$F,"&gt;="&amp;DATE(Config!$I$7,9,1),'Leave Records'!$F:$F,"&lt;="&amp;EOMONTH(DATE(Config!$I$7,9,1),0)))</f>
        <v/>
      </c>
      <c r="M66" s="9" t="str">
        <f>IF($B66="","",SUMIFS('Leave Records'!$I:$I,'Leave Records'!$B:$B,$B66,'Leave Records'!$K:$K,"Approved",'Leave Records'!$F:$F,"&gt;="&amp;DATE(Config!$I$7,10,1),'Leave Records'!$F:$F,"&lt;="&amp;EOMONTH(DATE(Config!$I$7,10,1),0)))</f>
        <v/>
      </c>
      <c r="N66" s="9" t="str">
        <f>IF($B66="","",SUMIFS('Leave Records'!$I:$I,'Leave Records'!$B:$B,$B66,'Leave Records'!$K:$K,"Approved",'Leave Records'!$F:$F,"&gt;="&amp;DATE(Config!$I$7,11,1),'Leave Records'!$F:$F,"&lt;="&amp;EOMONTH(DATE(Config!$I$7,11,1),0)))</f>
        <v/>
      </c>
      <c r="O66" s="9" t="str">
        <f>IF($B66="","",SUMIFS('Leave Records'!$I:$I,'Leave Records'!$B:$B,$B66,'Leave Records'!$K:$K,"Approved",'Leave Records'!$F:$F,"&gt;="&amp;DATE(Config!$I$7,12,1),'Leave Records'!$F:$F,"&lt;="&amp;EOMONTH(DATE(Config!$I$7,12,1),0)))</f>
        <v/>
      </c>
      <c r="P66" s="14" t="str">
        <f t="shared" si="1"/>
        <v/>
      </c>
    </row>
    <row r="67" ht="17" customHeight="1" spans="1:16">
      <c r="A67" s="5" t="str">
        <f t="shared" si="0"/>
        <v/>
      </c>
      <c r="B67" s="6" t="str">
        <f>IF(Config!$B$69="","",Config!$B$69)</f>
        <v/>
      </c>
      <c r="C67" s="7" t="str">
        <f>IF(Config!$B$69="","",Config!$C$69)</f>
        <v/>
      </c>
      <c r="D67" s="8" t="str">
        <f>IF($B67="","",SUMIFS('Leave Records'!$I:$I,'Leave Records'!$B:$B,$B67,'Leave Records'!$K:$K,"Approved",'Leave Records'!$F:$F,"&gt;="&amp;DATE(Config!$I$7,1,1),'Leave Records'!$F:$F,"&lt;="&amp;EOMONTH(DATE(Config!$I$7,1,1),0)))</f>
        <v/>
      </c>
      <c r="E67" s="9" t="str">
        <f>IF($B67="","",SUMIFS('Leave Records'!$I:$I,'Leave Records'!$B:$B,$B67,'Leave Records'!$K:$K,"Approved",'Leave Records'!$F:$F,"&gt;="&amp;DATE(Config!$I$7,2,1),'Leave Records'!$F:$F,"&lt;="&amp;EOMONTH(DATE(Config!$I$7,2,1),0)))</f>
        <v/>
      </c>
      <c r="F67" s="8" t="str">
        <f>IF($B67="","",SUMIFS('Leave Records'!$I:$I,'Leave Records'!$B:$B,$B67,'Leave Records'!$K:$K,"Approved",'Leave Records'!$F:$F,"&gt;="&amp;DATE(Config!$I$7,3,1),'Leave Records'!$F:$F,"&lt;="&amp;EOMONTH(DATE(Config!$I$7,3,1),0)))</f>
        <v/>
      </c>
      <c r="G67" s="10" t="str">
        <f>IF($B67="","",SUMIFS('Leave Records'!$I:$I,'Leave Records'!$B:$B,$B67,'Leave Records'!$K:$K,"Approved",'Leave Records'!$F:$F,"&gt;="&amp;DATE(Config!$I$7,4,1),'Leave Records'!$F:$F,"&lt;="&amp;EOMONTH(DATE(Config!$I$7,4,1),0)))</f>
        <v/>
      </c>
      <c r="H67" s="10" t="str">
        <f>IF($B67="","",SUMIFS('Leave Records'!$I:$I,'Leave Records'!$B:$B,$B67,'Leave Records'!$K:$K,"Approved",'Leave Records'!$F:$F,"&gt;="&amp;DATE(Config!$I$7,5,1),'Leave Records'!$F:$F,"&lt;="&amp;EOMONTH(DATE(Config!$I$7,5,1),0)))</f>
        <v/>
      </c>
      <c r="I67" s="8" t="str">
        <f>IF($B67="","",SUMIFS('Leave Records'!$I:$I,'Leave Records'!$B:$B,$B67,'Leave Records'!$K:$K,"Approved",'Leave Records'!$F:$F,"&gt;="&amp;DATE(Config!$I$7,6,1),'Leave Records'!$F:$F,"&lt;="&amp;EOMONTH(DATE(Config!$I$7,6,1),0)))</f>
        <v/>
      </c>
      <c r="J67" s="8" t="str">
        <f>IF($B67="","",SUMIFS('Leave Records'!$I:$I,'Leave Records'!$B:$B,$B67,'Leave Records'!$K:$K,"Approved",'Leave Records'!$F:$F,"&gt;="&amp;DATE(Config!$I$7,7,1),'Leave Records'!$F:$F,"&lt;="&amp;EOMONTH(DATE(Config!$I$7,7,1),0)))</f>
        <v/>
      </c>
      <c r="K67" s="9" t="str">
        <f>IF($B67="","",SUMIFS('Leave Records'!$I:$I,'Leave Records'!$B:$B,$B67,'Leave Records'!$K:$K,"Approved",'Leave Records'!$F:$F,"&gt;="&amp;DATE(Config!$I$7,8,1),'Leave Records'!$F:$F,"&lt;="&amp;EOMONTH(DATE(Config!$I$7,8,1),0)))</f>
        <v/>
      </c>
      <c r="L67" s="8" t="str">
        <f>IF($B67="","",SUMIFS('Leave Records'!$I:$I,'Leave Records'!$B:$B,$B67,'Leave Records'!$K:$K,"Approved",'Leave Records'!$F:$F,"&gt;="&amp;DATE(Config!$I$7,9,1),'Leave Records'!$F:$F,"&lt;="&amp;EOMONTH(DATE(Config!$I$7,9,1),0)))</f>
        <v/>
      </c>
      <c r="M67" s="10" t="str">
        <f>IF($B67="","",SUMIFS('Leave Records'!$I:$I,'Leave Records'!$B:$B,$B67,'Leave Records'!$K:$K,"Approved",'Leave Records'!$F:$F,"&gt;="&amp;DATE(Config!$I$7,10,1),'Leave Records'!$F:$F,"&lt;="&amp;EOMONTH(DATE(Config!$I$7,10,1),0)))</f>
        <v/>
      </c>
      <c r="N67" s="10" t="str">
        <f>IF($B67="","",SUMIFS('Leave Records'!$I:$I,'Leave Records'!$B:$B,$B67,'Leave Records'!$K:$K,"Approved",'Leave Records'!$F:$F,"&gt;="&amp;DATE(Config!$I$7,11,1),'Leave Records'!$F:$F,"&lt;="&amp;EOMONTH(DATE(Config!$I$7,11,1),0)))</f>
        <v/>
      </c>
      <c r="O67" s="8" t="str">
        <f>IF($B67="","",SUMIFS('Leave Records'!$I:$I,'Leave Records'!$B:$B,$B67,'Leave Records'!$K:$K,"Approved",'Leave Records'!$F:$F,"&gt;="&amp;DATE(Config!$I$7,12,1),'Leave Records'!$F:$F,"&lt;="&amp;EOMONTH(DATE(Config!$I$7,12,1),0)))</f>
        <v/>
      </c>
      <c r="P67" s="11" t="str">
        <f t="shared" si="1"/>
        <v/>
      </c>
    </row>
    <row r="68" ht="17" customHeight="1" spans="1:16">
      <c r="A68" s="5" t="str">
        <f t="shared" si="0"/>
        <v/>
      </c>
      <c r="B68" s="12" t="str">
        <f>IF(Config!$B$70="","",Config!$B$70)</f>
        <v/>
      </c>
      <c r="C68" s="13" t="str">
        <f>IF(Config!$B$70="","",Config!$C$70)</f>
        <v/>
      </c>
      <c r="D68" s="9" t="str">
        <f>IF($B68="","",SUMIFS('Leave Records'!$I:$I,'Leave Records'!$B:$B,$B68,'Leave Records'!$K:$K,"Approved",'Leave Records'!$F:$F,"&gt;="&amp;DATE(Config!$I$7,1,1),'Leave Records'!$F:$F,"&lt;="&amp;EOMONTH(DATE(Config!$I$7,1,1),0)))</f>
        <v/>
      </c>
      <c r="E68" s="9" t="str">
        <f>IF($B68="","",SUMIFS('Leave Records'!$I:$I,'Leave Records'!$B:$B,$B68,'Leave Records'!$K:$K,"Approved",'Leave Records'!$F:$F,"&gt;="&amp;DATE(Config!$I$7,2,1),'Leave Records'!$F:$F,"&lt;="&amp;EOMONTH(DATE(Config!$I$7,2,1),0)))</f>
        <v/>
      </c>
      <c r="F68" s="9" t="str">
        <f>IF($B68="","",SUMIFS('Leave Records'!$I:$I,'Leave Records'!$B:$B,$B68,'Leave Records'!$K:$K,"Approved",'Leave Records'!$F:$F,"&gt;="&amp;DATE(Config!$I$7,3,1),'Leave Records'!$F:$F,"&lt;="&amp;EOMONTH(DATE(Config!$I$7,3,1),0)))</f>
        <v/>
      </c>
      <c r="G68" s="9" t="str">
        <f>IF($B68="","",SUMIFS('Leave Records'!$I:$I,'Leave Records'!$B:$B,$B68,'Leave Records'!$K:$K,"Approved",'Leave Records'!$F:$F,"&gt;="&amp;DATE(Config!$I$7,4,1),'Leave Records'!$F:$F,"&lt;="&amp;EOMONTH(DATE(Config!$I$7,4,1),0)))</f>
        <v/>
      </c>
      <c r="H68" s="9" t="str">
        <f>IF($B68="","",SUMIFS('Leave Records'!$I:$I,'Leave Records'!$B:$B,$B68,'Leave Records'!$K:$K,"Approved",'Leave Records'!$F:$F,"&gt;="&amp;DATE(Config!$I$7,5,1),'Leave Records'!$F:$F,"&lt;="&amp;EOMONTH(DATE(Config!$I$7,5,1),0)))</f>
        <v/>
      </c>
      <c r="I68" s="9" t="str">
        <f>IF($B68="","",SUMIFS('Leave Records'!$I:$I,'Leave Records'!$B:$B,$B68,'Leave Records'!$K:$K,"Approved",'Leave Records'!$F:$F,"&gt;="&amp;DATE(Config!$I$7,6,1),'Leave Records'!$F:$F,"&lt;="&amp;EOMONTH(DATE(Config!$I$7,6,1),0)))</f>
        <v/>
      </c>
      <c r="J68" s="9" t="str">
        <f>IF($B68="","",SUMIFS('Leave Records'!$I:$I,'Leave Records'!$B:$B,$B68,'Leave Records'!$K:$K,"Approved",'Leave Records'!$F:$F,"&gt;="&amp;DATE(Config!$I$7,7,1),'Leave Records'!$F:$F,"&lt;="&amp;EOMONTH(DATE(Config!$I$7,7,1),0)))</f>
        <v/>
      </c>
      <c r="K68" s="9" t="str">
        <f>IF($B68="","",SUMIFS('Leave Records'!$I:$I,'Leave Records'!$B:$B,$B68,'Leave Records'!$K:$K,"Approved",'Leave Records'!$F:$F,"&gt;="&amp;DATE(Config!$I$7,8,1),'Leave Records'!$F:$F,"&lt;="&amp;EOMONTH(DATE(Config!$I$7,8,1),0)))</f>
        <v/>
      </c>
      <c r="L68" s="9" t="str">
        <f>IF($B68="","",SUMIFS('Leave Records'!$I:$I,'Leave Records'!$B:$B,$B68,'Leave Records'!$K:$K,"Approved",'Leave Records'!$F:$F,"&gt;="&amp;DATE(Config!$I$7,9,1),'Leave Records'!$F:$F,"&lt;="&amp;EOMONTH(DATE(Config!$I$7,9,1),0)))</f>
        <v/>
      </c>
      <c r="M68" s="9" t="str">
        <f>IF($B68="","",SUMIFS('Leave Records'!$I:$I,'Leave Records'!$B:$B,$B68,'Leave Records'!$K:$K,"Approved",'Leave Records'!$F:$F,"&gt;="&amp;DATE(Config!$I$7,10,1),'Leave Records'!$F:$F,"&lt;="&amp;EOMONTH(DATE(Config!$I$7,10,1),0)))</f>
        <v/>
      </c>
      <c r="N68" s="9" t="str">
        <f>IF($B68="","",SUMIFS('Leave Records'!$I:$I,'Leave Records'!$B:$B,$B68,'Leave Records'!$K:$K,"Approved",'Leave Records'!$F:$F,"&gt;="&amp;DATE(Config!$I$7,11,1),'Leave Records'!$F:$F,"&lt;="&amp;EOMONTH(DATE(Config!$I$7,11,1),0)))</f>
        <v/>
      </c>
      <c r="O68" s="9" t="str">
        <f>IF($B68="","",SUMIFS('Leave Records'!$I:$I,'Leave Records'!$B:$B,$B68,'Leave Records'!$K:$K,"Approved",'Leave Records'!$F:$F,"&gt;="&amp;DATE(Config!$I$7,12,1),'Leave Records'!$F:$F,"&lt;="&amp;EOMONTH(DATE(Config!$I$7,12,1),0)))</f>
        <v/>
      </c>
      <c r="P68" s="14" t="str">
        <f t="shared" si="1"/>
        <v/>
      </c>
    </row>
    <row r="69" ht="17" customHeight="1" spans="1:16">
      <c r="A69" s="5" t="str">
        <f t="shared" ref="A69:A104" si="2">IF(B69="","",ROW()-4)</f>
        <v/>
      </c>
      <c r="B69" s="6" t="str">
        <f>IF(Config!$B$71="","",Config!$B$71)</f>
        <v/>
      </c>
      <c r="C69" s="7" t="str">
        <f>IF(Config!$B$71="","",Config!$C$71)</f>
        <v/>
      </c>
      <c r="D69" s="8" t="str">
        <f>IF($B69="","",SUMIFS('Leave Records'!$I:$I,'Leave Records'!$B:$B,$B69,'Leave Records'!$K:$K,"Approved",'Leave Records'!$F:$F,"&gt;="&amp;DATE(Config!$I$7,1,1),'Leave Records'!$F:$F,"&lt;="&amp;EOMONTH(DATE(Config!$I$7,1,1),0)))</f>
        <v/>
      </c>
      <c r="E69" s="9" t="str">
        <f>IF($B69="","",SUMIFS('Leave Records'!$I:$I,'Leave Records'!$B:$B,$B69,'Leave Records'!$K:$K,"Approved",'Leave Records'!$F:$F,"&gt;="&amp;DATE(Config!$I$7,2,1),'Leave Records'!$F:$F,"&lt;="&amp;EOMONTH(DATE(Config!$I$7,2,1),0)))</f>
        <v/>
      </c>
      <c r="F69" s="8" t="str">
        <f>IF($B69="","",SUMIFS('Leave Records'!$I:$I,'Leave Records'!$B:$B,$B69,'Leave Records'!$K:$K,"Approved",'Leave Records'!$F:$F,"&gt;="&amp;DATE(Config!$I$7,3,1),'Leave Records'!$F:$F,"&lt;="&amp;EOMONTH(DATE(Config!$I$7,3,1),0)))</f>
        <v/>
      </c>
      <c r="G69" s="10" t="str">
        <f>IF($B69="","",SUMIFS('Leave Records'!$I:$I,'Leave Records'!$B:$B,$B69,'Leave Records'!$K:$K,"Approved",'Leave Records'!$F:$F,"&gt;="&amp;DATE(Config!$I$7,4,1),'Leave Records'!$F:$F,"&lt;="&amp;EOMONTH(DATE(Config!$I$7,4,1),0)))</f>
        <v/>
      </c>
      <c r="H69" s="10" t="str">
        <f>IF($B69="","",SUMIFS('Leave Records'!$I:$I,'Leave Records'!$B:$B,$B69,'Leave Records'!$K:$K,"Approved",'Leave Records'!$F:$F,"&gt;="&amp;DATE(Config!$I$7,5,1),'Leave Records'!$F:$F,"&lt;="&amp;EOMONTH(DATE(Config!$I$7,5,1),0)))</f>
        <v/>
      </c>
      <c r="I69" s="8" t="str">
        <f>IF($B69="","",SUMIFS('Leave Records'!$I:$I,'Leave Records'!$B:$B,$B69,'Leave Records'!$K:$K,"Approved",'Leave Records'!$F:$F,"&gt;="&amp;DATE(Config!$I$7,6,1),'Leave Records'!$F:$F,"&lt;="&amp;EOMONTH(DATE(Config!$I$7,6,1),0)))</f>
        <v/>
      </c>
      <c r="J69" s="8" t="str">
        <f>IF($B69="","",SUMIFS('Leave Records'!$I:$I,'Leave Records'!$B:$B,$B69,'Leave Records'!$K:$K,"Approved",'Leave Records'!$F:$F,"&gt;="&amp;DATE(Config!$I$7,7,1),'Leave Records'!$F:$F,"&lt;="&amp;EOMONTH(DATE(Config!$I$7,7,1),0)))</f>
        <v/>
      </c>
      <c r="K69" s="9" t="str">
        <f>IF($B69="","",SUMIFS('Leave Records'!$I:$I,'Leave Records'!$B:$B,$B69,'Leave Records'!$K:$K,"Approved",'Leave Records'!$F:$F,"&gt;="&amp;DATE(Config!$I$7,8,1),'Leave Records'!$F:$F,"&lt;="&amp;EOMONTH(DATE(Config!$I$7,8,1),0)))</f>
        <v/>
      </c>
      <c r="L69" s="8" t="str">
        <f>IF($B69="","",SUMIFS('Leave Records'!$I:$I,'Leave Records'!$B:$B,$B69,'Leave Records'!$K:$K,"Approved",'Leave Records'!$F:$F,"&gt;="&amp;DATE(Config!$I$7,9,1),'Leave Records'!$F:$F,"&lt;="&amp;EOMONTH(DATE(Config!$I$7,9,1),0)))</f>
        <v/>
      </c>
      <c r="M69" s="10" t="str">
        <f>IF($B69="","",SUMIFS('Leave Records'!$I:$I,'Leave Records'!$B:$B,$B69,'Leave Records'!$K:$K,"Approved",'Leave Records'!$F:$F,"&gt;="&amp;DATE(Config!$I$7,10,1),'Leave Records'!$F:$F,"&lt;="&amp;EOMONTH(DATE(Config!$I$7,10,1),0)))</f>
        <v/>
      </c>
      <c r="N69" s="10" t="str">
        <f>IF($B69="","",SUMIFS('Leave Records'!$I:$I,'Leave Records'!$B:$B,$B69,'Leave Records'!$K:$K,"Approved",'Leave Records'!$F:$F,"&gt;="&amp;DATE(Config!$I$7,11,1),'Leave Records'!$F:$F,"&lt;="&amp;EOMONTH(DATE(Config!$I$7,11,1),0)))</f>
        <v/>
      </c>
      <c r="O69" s="8" t="str">
        <f>IF($B69="","",SUMIFS('Leave Records'!$I:$I,'Leave Records'!$B:$B,$B69,'Leave Records'!$K:$K,"Approved",'Leave Records'!$F:$F,"&gt;="&amp;DATE(Config!$I$7,12,1),'Leave Records'!$F:$F,"&lt;="&amp;EOMONTH(DATE(Config!$I$7,12,1),0)))</f>
        <v/>
      </c>
      <c r="P69" s="11" t="str">
        <f t="shared" ref="P69:P104" si="3">IF($B69="","",SUM(D69:O69))</f>
        <v/>
      </c>
    </row>
    <row r="70" ht="17" customHeight="1" spans="1:16">
      <c r="A70" s="5" t="str">
        <f t="shared" si="2"/>
        <v/>
      </c>
      <c r="B70" s="12" t="str">
        <f>IF(Config!$B$72="","",Config!$B$72)</f>
        <v/>
      </c>
      <c r="C70" s="13" t="str">
        <f>IF(Config!$B$72="","",Config!$C$72)</f>
        <v/>
      </c>
      <c r="D70" s="9" t="str">
        <f>IF($B70="","",SUMIFS('Leave Records'!$I:$I,'Leave Records'!$B:$B,$B70,'Leave Records'!$K:$K,"Approved",'Leave Records'!$F:$F,"&gt;="&amp;DATE(Config!$I$7,1,1),'Leave Records'!$F:$F,"&lt;="&amp;EOMONTH(DATE(Config!$I$7,1,1),0)))</f>
        <v/>
      </c>
      <c r="E70" s="9" t="str">
        <f>IF($B70="","",SUMIFS('Leave Records'!$I:$I,'Leave Records'!$B:$B,$B70,'Leave Records'!$K:$K,"Approved",'Leave Records'!$F:$F,"&gt;="&amp;DATE(Config!$I$7,2,1),'Leave Records'!$F:$F,"&lt;="&amp;EOMONTH(DATE(Config!$I$7,2,1),0)))</f>
        <v/>
      </c>
      <c r="F70" s="9" t="str">
        <f>IF($B70="","",SUMIFS('Leave Records'!$I:$I,'Leave Records'!$B:$B,$B70,'Leave Records'!$K:$K,"Approved",'Leave Records'!$F:$F,"&gt;="&amp;DATE(Config!$I$7,3,1),'Leave Records'!$F:$F,"&lt;="&amp;EOMONTH(DATE(Config!$I$7,3,1),0)))</f>
        <v/>
      </c>
      <c r="G70" s="9" t="str">
        <f>IF($B70="","",SUMIFS('Leave Records'!$I:$I,'Leave Records'!$B:$B,$B70,'Leave Records'!$K:$K,"Approved",'Leave Records'!$F:$F,"&gt;="&amp;DATE(Config!$I$7,4,1),'Leave Records'!$F:$F,"&lt;="&amp;EOMONTH(DATE(Config!$I$7,4,1),0)))</f>
        <v/>
      </c>
      <c r="H70" s="9" t="str">
        <f>IF($B70="","",SUMIFS('Leave Records'!$I:$I,'Leave Records'!$B:$B,$B70,'Leave Records'!$K:$K,"Approved",'Leave Records'!$F:$F,"&gt;="&amp;DATE(Config!$I$7,5,1),'Leave Records'!$F:$F,"&lt;="&amp;EOMONTH(DATE(Config!$I$7,5,1),0)))</f>
        <v/>
      </c>
      <c r="I70" s="9" t="str">
        <f>IF($B70="","",SUMIFS('Leave Records'!$I:$I,'Leave Records'!$B:$B,$B70,'Leave Records'!$K:$K,"Approved",'Leave Records'!$F:$F,"&gt;="&amp;DATE(Config!$I$7,6,1),'Leave Records'!$F:$F,"&lt;="&amp;EOMONTH(DATE(Config!$I$7,6,1),0)))</f>
        <v/>
      </c>
      <c r="J70" s="9" t="str">
        <f>IF($B70="","",SUMIFS('Leave Records'!$I:$I,'Leave Records'!$B:$B,$B70,'Leave Records'!$K:$K,"Approved",'Leave Records'!$F:$F,"&gt;="&amp;DATE(Config!$I$7,7,1),'Leave Records'!$F:$F,"&lt;="&amp;EOMONTH(DATE(Config!$I$7,7,1),0)))</f>
        <v/>
      </c>
      <c r="K70" s="9" t="str">
        <f>IF($B70="","",SUMIFS('Leave Records'!$I:$I,'Leave Records'!$B:$B,$B70,'Leave Records'!$K:$K,"Approved",'Leave Records'!$F:$F,"&gt;="&amp;DATE(Config!$I$7,8,1),'Leave Records'!$F:$F,"&lt;="&amp;EOMONTH(DATE(Config!$I$7,8,1),0)))</f>
        <v/>
      </c>
      <c r="L70" s="9" t="str">
        <f>IF($B70="","",SUMIFS('Leave Records'!$I:$I,'Leave Records'!$B:$B,$B70,'Leave Records'!$K:$K,"Approved",'Leave Records'!$F:$F,"&gt;="&amp;DATE(Config!$I$7,9,1),'Leave Records'!$F:$F,"&lt;="&amp;EOMONTH(DATE(Config!$I$7,9,1),0)))</f>
        <v/>
      </c>
      <c r="M70" s="9" t="str">
        <f>IF($B70="","",SUMIFS('Leave Records'!$I:$I,'Leave Records'!$B:$B,$B70,'Leave Records'!$K:$K,"Approved",'Leave Records'!$F:$F,"&gt;="&amp;DATE(Config!$I$7,10,1),'Leave Records'!$F:$F,"&lt;="&amp;EOMONTH(DATE(Config!$I$7,10,1),0)))</f>
        <v/>
      </c>
      <c r="N70" s="9" t="str">
        <f>IF($B70="","",SUMIFS('Leave Records'!$I:$I,'Leave Records'!$B:$B,$B70,'Leave Records'!$K:$K,"Approved",'Leave Records'!$F:$F,"&gt;="&amp;DATE(Config!$I$7,11,1),'Leave Records'!$F:$F,"&lt;="&amp;EOMONTH(DATE(Config!$I$7,11,1),0)))</f>
        <v/>
      </c>
      <c r="O70" s="9" t="str">
        <f>IF($B70="","",SUMIFS('Leave Records'!$I:$I,'Leave Records'!$B:$B,$B70,'Leave Records'!$K:$K,"Approved",'Leave Records'!$F:$F,"&gt;="&amp;DATE(Config!$I$7,12,1),'Leave Records'!$F:$F,"&lt;="&amp;EOMONTH(DATE(Config!$I$7,12,1),0)))</f>
        <v/>
      </c>
      <c r="P70" s="14" t="str">
        <f t="shared" si="3"/>
        <v/>
      </c>
    </row>
    <row r="71" ht="17" customHeight="1" spans="1:16">
      <c r="A71" s="5" t="str">
        <f t="shared" si="2"/>
        <v/>
      </c>
      <c r="B71" s="6" t="str">
        <f>IF(Config!$B$73="","",Config!$B$73)</f>
        <v/>
      </c>
      <c r="C71" s="7" t="str">
        <f>IF(Config!$B$73="","",Config!$C$73)</f>
        <v/>
      </c>
      <c r="D71" s="8" t="str">
        <f>IF($B71="","",SUMIFS('Leave Records'!$I:$I,'Leave Records'!$B:$B,$B71,'Leave Records'!$K:$K,"Approved",'Leave Records'!$F:$F,"&gt;="&amp;DATE(Config!$I$7,1,1),'Leave Records'!$F:$F,"&lt;="&amp;EOMONTH(DATE(Config!$I$7,1,1),0)))</f>
        <v/>
      </c>
      <c r="E71" s="9" t="str">
        <f>IF($B71="","",SUMIFS('Leave Records'!$I:$I,'Leave Records'!$B:$B,$B71,'Leave Records'!$K:$K,"Approved",'Leave Records'!$F:$F,"&gt;="&amp;DATE(Config!$I$7,2,1),'Leave Records'!$F:$F,"&lt;="&amp;EOMONTH(DATE(Config!$I$7,2,1),0)))</f>
        <v/>
      </c>
      <c r="F71" s="8" t="str">
        <f>IF($B71="","",SUMIFS('Leave Records'!$I:$I,'Leave Records'!$B:$B,$B71,'Leave Records'!$K:$K,"Approved",'Leave Records'!$F:$F,"&gt;="&amp;DATE(Config!$I$7,3,1),'Leave Records'!$F:$F,"&lt;="&amp;EOMONTH(DATE(Config!$I$7,3,1),0)))</f>
        <v/>
      </c>
      <c r="G71" s="10" t="str">
        <f>IF($B71="","",SUMIFS('Leave Records'!$I:$I,'Leave Records'!$B:$B,$B71,'Leave Records'!$K:$K,"Approved",'Leave Records'!$F:$F,"&gt;="&amp;DATE(Config!$I$7,4,1),'Leave Records'!$F:$F,"&lt;="&amp;EOMONTH(DATE(Config!$I$7,4,1),0)))</f>
        <v/>
      </c>
      <c r="H71" s="10" t="str">
        <f>IF($B71="","",SUMIFS('Leave Records'!$I:$I,'Leave Records'!$B:$B,$B71,'Leave Records'!$K:$K,"Approved",'Leave Records'!$F:$F,"&gt;="&amp;DATE(Config!$I$7,5,1),'Leave Records'!$F:$F,"&lt;="&amp;EOMONTH(DATE(Config!$I$7,5,1),0)))</f>
        <v/>
      </c>
      <c r="I71" s="8" t="str">
        <f>IF($B71="","",SUMIFS('Leave Records'!$I:$I,'Leave Records'!$B:$B,$B71,'Leave Records'!$K:$K,"Approved",'Leave Records'!$F:$F,"&gt;="&amp;DATE(Config!$I$7,6,1),'Leave Records'!$F:$F,"&lt;="&amp;EOMONTH(DATE(Config!$I$7,6,1),0)))</f>
        <v/>
      </c>
      <c r="J71" s="8" t="str">
        <f>IF($B71="","",SUMIFS('Leave Records'!$I:$I,'Leave Records'!$B:$B,$B71,'Leave Records'!$K:$K,"Approved",'Leave Records'!$F:$F,"&gt;="&amp;DATE(Config!$I$7,7,1),'Leave Records'!$F:$F,"&lt;="&amp;EOMONTH(DATE(Config!$I$7,7,1),0)))</f>
        <v/>
      </c>
      <c r="K71" s="9" t="str">
        <f>IF($B71="","",SUMIFS('Leave Records'!$I:$I,'Leave Records'!$B:$B,$B71,'Leave Records'!$K:$K,"Approved",'Leave Records'!$F:$F,"&gt;="&amp;DATE(Config!$I$7,8,1),'Leave Records'!$F:$F,"&lt;="&amp;EOMONTH(DATE(Config!$I$7,8,1),0)))</f>
        <v/>
      </c>
      <c r="L71" s="8" t="str">
        <f>IF($B71="","",SUMIFS('Leave Records'!$I:$I,'Leave Records'!$B:$B,$B71,'Leave Records'!$K:$K,"Approved",'Leave Records'!$F:$F,"&gt;="&amp;DATE(Config!$I$7,9,1),'Leave Records'!$F:$F,"&lt;="&amp;EOMONTH(DATE(Config!$I$7,9,1),0)))</f>
        <v/>
      </c>
      <c r="M71" s="10" t="str">
        <f>IF($B71="","",SUMIFS('Leave Records'!$I:$I,'Leave Records'!$B:$B,$B71,'Leave Records'!$K:$K,"Approved",'Leave Records'!$F:$F,"&gt;="&amp;DATE(Config!$I$7,10,1),'Leave Records'!$F:$F,"&lt;="&amp;EOMONTH(DATE(Config!$I$7,10,1),0)))</f>
        <v/>
      </c>
      <c r="N71" s="10" t="str">
        <f>IF($B71="","",SUMIFS('Leave Records'!$I:$I,'Leave Records'!$B:$B,$B71,'Leave Records'!$K:$K,"Approved",'Leave Records'!$F:$F,"&gt;="&amp;DATE(Config!$I$7,11,1),'Leave Records'!$F:$F,"&lt;="&amp;EOMONTH(DATE(Config!$I$7,11,1),0)))</f>
        <v/>
      </c>
      <c r="O71" s="8" t="str">
        <f>IF($B71="","",SUMIFS('Leave Records'!$I:$I,'Leave Records'!$B:$B,$B71,'Leave Records'!$K:$K,"Approved",'Leave Records'!$F:$F,"&gt;="&amp;DATE(Config!$I$7,12,1),'Leave Records'!$F:$F,"&lt;="&amp;EOMONTH(DATE(Config!$I$7,12,1),0)))</f>
        <v/>
      </c>
      <c r="P71" s="11" t="str">
        <f t="shared" si="3"/>
        <v/>
      </c>
    </row>
    <row r="72" ht="17" customHeight="1" spans="1:16">
      <c r="A72" s="5" t="str">
        <f t="shared" si="2"/>
        <v/>
      </c>
      <c r="B72" s="12" t="str">
        <f>IF(Config!$B$74="","",Config!$B$74)</f>
        <v/>
      </c>
      <c r="C72" s="13" t="str">
        <f>IF(Config!$B$74="","",Config!$C$74)</f>
        <v/>
      </c>
      <c r="D72" s="9" t="str">
        <f>IF($B72="","",SUMIFS('Leave Records'!$I:$I,'Leave Records'!$B:$B,$B72,'Leave Records'!$K:$K,"Approved",'Leave Records'!$F:$F,"&gt;="&amp;DATE(Config!$I$7,1,1),'Leave Records'!$F:$F,"&lt;="&amp;EOMONTH(DATE(Config!$I$7,1,1),0)))</f>
        <v/>
      </c>
      <c r="E72" s="9" t="str">
        <f>IF($B72="","",SUMIFS('Leave Records'!$I:$I,'Leave Records'!$B:$B,$B72,'Leave Records'!$K:$K,"Approved",'Leave Records'!$F:$F,"&gt;="&amp;DATE(Config!$I$7,2,1),'Leave Records'!$F:$F,"&lt;="&amp;EOMONTH(DATE(Config!$I$7,2,1),0)))</f>
        <v/>
      </c>
      <c r="F72" s="9" t="str">
        <f>IF($B72="","",SUMIFS('Leave Records'!$I:$I,'Leave Records'!$B:$B,$B72,'Leave Records'!$K:$K,"Approved",'Leave Records'!$F:$F,"&gt;="&amp;DATE(Config!$I$7,3,1),'Leave Records'!$F:$F,"&lt;="&amp;EOMONTH(DATE(Config!$I$7,3,1),0)))</f>
        <v/>
      </c>
      <c r="G72" s="9" t="str">
        <f>IF($B72="","",SUMIFS('Leave Records'!$I:$I,'Leave Records'!$B:$B,$B72,'Leave Records'!$K:$K,"Approved",'Leave Records'!$F:$F,"&gt;="&amp;DATE(Config!$I$7,4,1),'Leave Records'!$F:$F,"&lt;="&amp;EOMONTH(DATE(Config!$I$7,4,1),0)))</f>
        <v/>
      </c>
      <c r="H72" s="9" t="str">
        <f>IF($B72="","",SUMIFS('Leave Records'!$I:$I,'Leave Records'!$B:$B,$B72,'Leave Records'!$K:$K,"Approved",'Leave Records'!$F:$F,"&gt;="&amp;DATE(Config!$I$7,5,1),'Leave Records'!$F:$F,"&lt;="&amp;EOMONTH(DATE(Config!$I$7,5,1),0)))</f>
        <v/>
      </c>
      <c r="I72" s="9" t="str">
        <f>IF($B72="","",SUMIFS('Leave Records'!$I:$I,'Leave Records'!$B:$B,$B72,'Leave Records'!$K:$K,"Approved",'Leave Records'!$F:$F,"&gt;="&amp;DATE(Config!$I$7,6,1),'Leave Records'!$F:$F,"&lt;="&amp;EOMONTH(DATE(Config!$I$7,6,1),0)))</f>
        <v/>
      </c>
      <c r="J72" s="9" t="str">
        <f>IF($B72="","",SUMIFS('Leave Records'!$I:$I,'Leave Records'!$B:$B,$B72,'Leave Records'!$K:$K,"Approved",'Leave Records'!$F:$F,"&gt;="&amp;DATE(Config!$I$7,7,1),'Leave Records'!$F:$F,"&lt;="&amp;EOMONTH(DATE(Config!$I$7,7,1),0)))</f>
        <v/>
      </c>
      <c r="K72" s="9" t="str">
        <f>IF($B72="","",SUMIFS('Leave Records'!$I:$I,'Leave Records'!$B:$B,$B72,'Leave Records'!$K:$K,"Approved",'Leave Records'!$F:$F,"&gt;="&amp;DATE(Config!$I$7,8,1),'Leave Records'!$F:$F,"&lt;="&amp;EOMONTH(DATE(Config!$I$7,8,1),0)))</f>
        <v/>
      </c>
      <c r="L72" s="9" t="str">
        <f>IF($B72="","",SUMIFS('Leave Records'!$I:$I,'Leave Records'!$B:$B,$B72,'Leave Records'!$K:$K,"Approved",'Leave Records'!$F:$F,"&gt;="&amp;DATE(Config!$I$7,9,1),'Leave Records'!$F:$F,"&lt;="&amp;EOMONTH(DATE(Config!$I$7,9,1),0)))</f>
        <v/>
      </c>
      <c r="M72" s="9" t="str">
        <f>IF($B72="","",SUMIFS('Leave Records'!$I:$I,'Leave Records'!$B:$B,$B72,'Leave Records'!$K:$K,"Approved",'Leave Records'!$F:$F,"&gt;="&amp;DATE(Config!$I$7,10,1),'Leave Records'!$F:$F,"&lt;="&amp;EOMONTH(DATE(Config!$I$7,10,1),0)))</f>
        <v/>
      </c>
      <c r="N72" s="9" t="str">
        <f>IF($B72="","",SUMIFS('Leave Records'!$I:$I,'Leave Records'!$B:$B,$B72,'Leave Records'!$K:$K,"Approved",'Leave Records'!$F:$F,"&gt;="&amp;DATE(Config!$I$7,11,1),'Leave Records'!$F:$F,"&lt;="&amp;EOMONTH(DATE(Config!$I$7,11,1),0)))</f>
        <v/>
      </c>
      <c r="O72" s="9" t="str">
        <f>IF($B72="","",SUMIFS('Leave Records'!$I:$I,'Leave Records'!$B:$B,$B72,'Leave Records'!$K:$K,"Approved",'Leave Records'!$F:$F,"&gt;="&amp;DATE(Config!$I$7,12,1),'Leave Records'!$F:$F,"&lt;="&amp;EOMONTH(DATE(Config!$I$7,12,1),0)))</f>
        <v/>
      </c>
      <c r="P72" s="14" t="str">
        <f t="shared" si="3"/>
        <v/>
      </c>
    </row>
    <row r="73" ht="17" customHeight="1" spans="1:16">
      <c r="A73" s="5" t="str">
        <f t="shared" si="2"/>
        <v/>
      </c>
      <c r="B73" s="6" t="str">
        <f>IF(Config!$B$75="","",Config!$B$75)</f>
        <v/>
      </c>
      <c r="C73" s="7" t="str">
        <f>IF(Config!$B$75="","",Config!$C$75)</f>
        <v/>
      </c>
      <c r="D73" s="8" t="str">
        <f>IF($B73="","",SUMIFS('Leave Records'!$I:$I,'Leave Records'!$B:$B,$B73,'Leave Records'!$K:$K,"Approved",'Leave Records'!$F:$F,"&gt;="&amp;DATE(Config!$I$7,1,1),'Leave Records'!$F:$F,"&lt;="&amp;EOMONTH(DATE(Config!$I$7,1,1),0)))</f>
        <v/>
      </c>
      <c r="E73" s="9" t="str">
        <f>IF($B73="","",SUMIFS('Leave Records'!$I:$I,'Leave Records'!$B:$B,$B73,'Leave Records'!$K:$K,"Approved",'Leave Records'!$F:$F,"&gt;="&amp;DATE(Config!$I$7,2,1),'Leave Records'!$F:$F,"&lt;="&amp;EOMONTH(DATE(Config!$I$7,2,1),0)))</f>
        <v/>
      </c>
      <c r="F73" s="8" t="str">
        <f>IF($B73="","",SUMIFS('Leave Records'!$I:$I,'Leave Records'!$B:$B,$B73,'Leave Records'!$K:$K,"Approved",'Leave Records'!$F:$F,"&gt;="&amp;DATE(Config!$I$7,3,1),'Leave Records'!$F:$F,"&lt;="&amp;EOMONTH(DATE(Config!$I$7,3,1),0)))</f>
        <v/>
      </c>
      <c r="G73" s="10" t="str">
        <f>IF($B73="","",SUMIFS('Leave Records'!$I:$I,'Leave Records'!$B:$B,$B73,'Leave Records'!$K:$K,"Approved",'Leave Records'!$F:$F,"&gt;="&amp;DATE(Config!$I$7,4,1),'Leave Records'!$F:$F,"&lt;="&amp;EOMONTH(DATE(Config!$I$7,4,1),0)))</f>
        <v/>
      </c>
      <c r="H73" s="10" t="str">
        <f>IF($B73="","",SUMIFS('Leave Records'!$I:$I,'Leave Records'!$B:$B,$B73,'Leave Records'!$K:$K,"Approved",'Leave Records'!$F:$F,"&gt;="&amp;DATE(Config!$I$7,5,1),'Leave Records'!$F:$F,"&lt;="&amp;EOMONTH(DATE(Config!$I$7,5,1),0)))</f>
        <v/>
      </c>
      <c r="I73" s="8" t="str">
        <f>IF($B73="","",SUMIFS('Leave Records'!$I:$I,'Leave Records'!$B:$B,$B73,'Leave Records'!$K:$K,"Approved",'Leave Records'!$F:$F,"&gt;="&amp;DATE(Config!$I$7,6,1),'Leave Records'!$F:$F,"&lt;="&amp;EOMONTH(DATE(Config!$I$7,6,1),0)))</f>
        <v/>
      </c>
      <c r="J73" s="8" t="str">
        <f>IF($B73="","",SUMIFS('Leave Records'!$I:$I,'Leave Records'!$B:$B,$B73,'Leave Records'!$K:$K,"Approved",'Leave Records'!$F:$F,"&gt;="&amp;DATE(Config!$I$7,7,1),'Leave Records'!$F:$F,"&lt;="&amp;EOMONTH(DATE(Config!$I$7,7,1),0)))</f>
        <v/>
      </c>
      <c r="K73" s="9" t="str">
        <f>IF($B73="","",SUMIFS('Leave Records'!$I:$I,'Leave Records'!$B:$B,$B73,'Leave Records'!$K:$K,"Approved",'Leave Records'!$F:$F,"&gt;="&amp;DATE(Config!$I$7,8,1),'Leave Records'!$F:$F,"&lt;="&amp;EOMONTH(DATE(Config!$I$7,8,1),0)))</f>
        <v/>
      </c>
      <c r="L73" s="8" t="str">
        <f>IF($B73="","",SUMIFS('Leave Records'!$I:$I,'Leave Records'!$B:$B,$B73,'Leave Records'!$K:$K,"Approved",'Leave Records'!$F:$F,"&gt;="&amp;DATE(Config!$I$7,9,1),'Leave Records'!$F:$F,"&lt;="&amp;EOMONTH(DATE(Config!$I$7,9,1),0)))</f>
        <v/>
      </c>
      <c r="M73" s="10" t="str">
        <f>IF($B73="","",SUMIFS('Leave Records'!$I:$I,'Leave Records'!$B:$B,$B73,'Leave Records'!$K:$K,"Approved",'Leave Records'!$F:$F,"&gt;="&amp;DATE(Config!$I$7,10,1),'Leave Records'!$F:$F,"&lt;="&amp;EOMONTH(DATE(Config!$I$7,10,1),0)))</f>
        <v/>
      </c>
      <c r="N73" s="10" t="str">
        <f>IF($B73="","",SUMIFS('Leave Records'!$I:$I,'Leave Records'!$B:$B,$B73,'Leave Records'!$K:$K,"Approved",'Leave Records'!$F:$F,"&gt;="&amp;DATE(Config!$I$7,11,1),'Leave Records'!$F:$F,"&lt;="&amp;EOMONTH(DATE(Config!$I$7,11,1),0)))</f>
        <v/>
      </c>
      <c r="O73" s="8" t="str">
        <f>IF($B73="","",SUMIFS('Leave Records'!$I:$I,'Leave Records'!$B:$B,$B73,'Leave Records'!$K:$K,"Approved",'Leave Records'!$F:$F,"&gt;="&amp;DATE(Config!$I$7,12,1),'Leave Records'!$F:$F,"&lt;="&amp;EOMONTH(DATE(Config!$I$7,12,1),0)))</f>
        <v/>
      </c>
      <c r="P73" s="11" t="str">
        <f t="shared" si="3"/>
        <v/>
      </c>
    </row>
    <row r="74" ht="17" customHeight="1" spans="1:16">
      <c r="A74" s="5" t="str">
        <f t="shared" si="2"/>
        <v/>
      </c>
      <c r="B74" s="12" t="str">
        <f>IF(Config!$B$76="","",Config!$B$76)</f>
        <v/>
      </c>
      <c r="C74" s="13" t="str">
        <f>IF(Config!$B$76="","",Config!$C$76)</f>
        <v/>
      </c>
      <c r="D74" s="9" t="str">
        <f>IF($B74="","",SUMIFS('Leave Records'!$I:$I,'Leave Records'!$B:$B,$B74,'Leave Records'!$K:$K,"Approved",'Leave Records'!$F:$F,"&gt;="&amp;DATE(Config!$I$7,1,1),'Leave Records'!$F:$F,"&lt;="&amp;EOMONTH(DATE(Config!$I$7,1,1),0)))</f>
        <v/>
      </c>
      <c r="E74" s="9" t="str">
        <f>IF($B74="","",SUMIFS('Leave Records'!$I:$I,'Leave Records'!$B:$B,$B74,'Leave Records'!$K:$K,"Approved",'Leave Records'!$F:$F,"&gt;="&amp;DATE(Config!$I$7,2,1),'Leave Records'!$F:$F,"&lt;="&amp;EOMONTH(DATE(Config!$I$7,2,1),0)))</f>
        <v/>
      </c>
      <c r="F74" s="9" t="str">
        <f>IF($B74="","",SUMIFS('Leave Records'!$I:$I,'Leave Records'!$B:$B,$B74,'Leave Records'!$K:$K,"Approved",'Leave Records'!$F:$F,"&gt;="&amp;DATE(Config!$I$7,3,1),'Leave Records'!$F:$F,"&lt;="&amp;EOMONTH(DATE(Config!$I$7,3,1),0)))</f>
        <v/>
      </c>
      <c r="G74" s="9" t="str">
        <f>IF($B74="","",SUMIFS('Leave Records'!$I:$I,'Leave Records'!$B:$B,$B74,'Leave Records'!$K:$K,"Approved",'Leave Records'!$F:$F,"&gt;="&amp;DATE(Config!$I$7,4,1),'Leave Records'!$F:$F,"&lt;="&amp;EOMONTH(DATE(Config!$I$7,4,1),0)))</f>
        <v/>
      </c>
      <c r="H74" s="9" t="str">
        <f>IF($B74="","",SUMIFS('Leave Records'!$I:$I,'Leave Records'!$B:$B,$B74,'Leave Records'!$K:$K,"Approved",'Leave Records'!$F:$F,"&gt;="&amp;DATE(Config!$I$7,5,1),'Leave Records'!$F:$F,"&lt;="&amp;EOMONTH(DATE(Config!$I$7,5,1),0)))</f>
        <v/>
      </c>
      <c r="I74" s="9" t="str">
        <f>IF($B74="","",SUMIFS('Leave Records'!$I:$I,'Leave Records'!$B:$B,$B74,'Leave Records'!$K:$K,"Approved",'Leave Records'!$F:$F,"&gt;="&amp;DATE(Config!$I$7,6,1),'Leave Records'!$F:$F,"&lt;="&amp;EOMONTH(DATE(Config!$I$7,6,1),0)))</f>
        <v/>
      </c>
      <c r="J74" s="9" t="str">
        <f>IF($B74="","",SUMIFS('Leave Records'!$I:$I,'Leave Records'!$B:$B,$B74,'Leave Records'!$K:$K,"Approved",'Leave Records'!$F:$F,"&gt;="&amp;DATE(Config!$I$7,7,1),'Leave Records'!$F:$F,"&lt;="&amp;EOMONTH(DATE(Config!$I$7,7,1),0)))</f>
        <v/>
      </c>
      <c r="K74" s="9" t="str">
        <f>IF($B74="","",SUMIFS('Leave Records'!$I:$I,'Leave Records'!$B:$B,$B74,'Leave Records'!$K:$K,"Approved",'Leave Records'!$F:$F,"&gt;="&amp;DATE(Config!$I$7,8,1),'Leave Records'!$F:$F,"&lt;="&amp;EOMONTH(DATE(Config!$I$7,8,1),0)))</f>
        <v/>
      </c>
      <c r="L74" s="9" t="str">
        <f>IF($B74="","",SUMIFS('Leave Records'!$I:$I,'Leave Records'!$B:$B,$B74,'Leave Records'!$K:$K,"Approved",'Leave Records'!$F:$F,"&gt;="&amp;DATE(Config!$I$7,9,1),'Leave Records'!$F:$F,"&lt;="&amp;EOMONTH(DATE(Config!$I$7,9,1),0)))</f>
        <v/>
      </c>
      <c r="M74" s="9" t="str">
        <f>IF($B74="","",SUMIFS('Leave Records'!$I:$I,'Leave Records'!$B:$B,$B74,'Leave Records'!$K:$K,"Approved",'Leave Records'!$F:$F,"&gt;="&amp;DATE(Config!$I$7,10,1),'Leave Records'!$F:$F,"&lt;="&amp;EOMONTH(DATE(Config!$I$7,10,1),0)))</f>
        <v/>
      </c>
      <c r="N74" s="9" t="str">
        <f>IF($B74="","",SUMIFS('Leave Records'!$I:$I,'Leave Records'!$B:$B,$B74,'Leave Records'!$K:$K,"Approved",'Leave Records'!$F:$F,"&gt;="&amp;DATE(Config!$I$7,11,1),'Leave Records'!$F:$F,"&lt;="&amp;EOMONTH(DATE(Config!$I$7,11,1),0)))</f>
        <v/>
      </c>
      <c r="O74" s="9" t="str">
        <f>IF($B74="","",SUMIFS('Leave Records'!$I:$I,'Leave Records'!$B:$B,$B74,'Leave Records'!$K:$K,"Approved",'Leave Records'!$F:$F,"&gt;="&amp;DATE(Config!$I$7,12,1),'Leave Records'!$F:$F,"&lt;="&amp;EOMONTH(DATE(Config!$I$7,12,1),0)))</f>
        <v/>
      </c>
      <c r="P74" s="14" t="str">
        <f t="shared" si="3"/>
        <v/>
      </c>
    </row>
    <row r="75" ht="17" customHeight="1" spans="1:16">
      <c r="A75" s="5" t="str">
        <f t="shared" si="2"/>
        <v/>
      </c>
      <c r="B75" s="6" t="str">
        <f>IF(Config!$B$77="","",Config!$B$77)</f>
        <v/>
      </c>
      <c r="C75" s="7" t="str">
        <f>IF(Config!$B$77="","",Config!$C$77)</f>
        <v/>
      </c>
      <c r="D75" s="8" t="str">
        <f>IF($B75="","",SUMIFS('Leave Records'!$I:$I,'Leave Records'!$B:$B,$B75,'Leave Records'!$K:$K,"Approved",'Leave Records'!$F:$F,"&gt;="&amp;DATE(Config!$I$7,1,1),'Leave Records'!$F:$F,"&lt;="&amp;EOMONTH(DATE(Config!$I$7,1,1),0)))</f>
        <v/>
      </c>
      <c r="E75" s="9" t="str">
        <f>IF($B75="","",SUMIFS('Leave Records'!$I:$I,'Leave Records'!$B:$B,$B75,'Leave Records'!$K:$K,"Approved",'Leave Records'!$F:$F,"&gt;="&amp;DATE(Config!$I$7,2,1),'Leave Records'!$F:$F,"&lt;="&amp;EOMONTH(DATE(Config!$I$7,2,1),0)))</f>
        <v/>
      </c>
      <c r="F75" s="8" t="str">
        <f>IF($B75="","",SUMIFS('Leave Records'!$I:$I,'Leave Records'!$B:$B,$B75,'Leave Records'!$K:$K,"Approved",'Leave Records'!$F:$F,"&gt;="&amp;DATE(Config!$I$7,3,1),'Leave Records'!$F:$F,"&lt;="&amp;EOMONTH(DATE(Config!$I$7,3,1),0)))</f>
        <v/>
      </c>
      <c r="G75" s="10" t="str">
        <f>IF($B75="","",SUMIFS('Leave Records'!$I:$I,'Leave Records'!$B:$B,$B75,'Leave Records'!$K:$K,"Approved",'Leave Records'!$F:$F,"&gt;="&amp;DATE(Config!$I$7,4,1),'Leave Records'!$F:$F,"&lt;="&amp;EOMONTH(DATE(Config!$I$7,4,1),0)))</f>
        <v/>
      </c>
      <c r="H75" s="10" t="str">
        <f>IF($B75="","",SUMIFS('Leave Records'!$I:$I,'Leave Records'!$B:$B,$B75,'Leave Records'!$K:$K,"Approved",'Leave Records'!$F:$F,"&gt;="&amp;DATE(Config!$I$7,5,1),'Leave Records'!$F:$F,"&lt;="&amp;EOMONTH(DATE(Config!$I$7,5,1),0)))</f>
        <v/>
      </c>
      <c r="I75" s="8" t="str">
        <f>IF($B75="","",SUMIFS('Leave Records'!$I:$I,'Leave Records'!$B:$B,$B75,'Leave Records'!$K:$K,"Approved",'Leave Records'!$F:$F,"&gt;="&amp;DATE(Config!$I$7,6,1),'Leave Records'!$F:$F,"&lt;="&amp;EOMONTH(DATE(Config!$I$7,6,1),0)))</f>
        <v/>
      </c>
      <c r="J75" s="8" t="str">
        <f>IF($B75="","",SUMIFS('Leave Records'!$I:$I,'Leave Records'!$B:$B,$B75,'Leave Records'!$K:$K,"Approved",'Leave Records'!$F:$F,"&gt;="&amp;DATE(Config!$I$7,7,1),'Leave Records'!$F:$F,"&lt;="&amp;EOMONTH(DATE(Config!$I$7,7,1),0)))</f>
        <v/>
      </c>
      <c r="K75" s="9" t="str">
        <f>IF($B75="","",SUMIFS('Leave Records'!$I:$I,'Leave Records'!$B:$B,$B75,'Leave Records'!$K:$K,"Approved",'Leave Records'!$F:$F,"&gt;="&amp;DATE(Config!$I$7,8,1),'Leave Records'!$F:$F,"&lt;="&amp;EOMONTH(DATE(Config!$I$7,8,1),0)))</f>
        <v/>
      </c>
      <c r="L75" s="8" t="str">
        <f>IF($B75="","",SUMIFS('Leave Records'!$I:$I,'Leave Records'!$B:$B,$B75,'Leave Records'!$K:$K,"Approved",'Leave Records'!$F:$F,"&gt;="&amp;DATE(Config!$I$7,9,1),'Leave Records'!$F:$F,"&lt;="&amp;EOMONTH(DATE(Config!$I$7,9,1),0)))</f>
        <v/>
      </c>
      <c r="M75" s="10" t="str">
        <f>IF($B75="","",SUMIFS('Leave Records'!$I:$I,'Leave Records'!$B:$B,$B75,'Leave Records'!$K:$K,"Approved",'Leave Records'!$F:$F,"&gt;="&amp;DATE(Config!$I$7,10,1),'Leave Records'!$F:$F,"&lt;="&amp;EOMONTH(DATE(Config!$I$7,10,1),0)))</f>
        <v/>
      </c>
      <c r="N75" s="10" t="str">
        <f>IF($B75="","",SUMIFS('Leave Records'!$I:$I,'Leave Records'!$B:$B,$B75,'Leave Records'!$K:$K,"Approved",'Leave Records'!$F:$F,"&gt;="&amp;DATE(Config!$I$7,11,1),'Leave Records'!$F:$F,"&lt;="&amp;EOMONTH(DATE(Config!$I$7,11,1),0)))</f>
        <v/>
      </c>
      <c r="O75" s="8" t="str">
        <f>IF($B75="","",SUMIFS('Leave Records'!$I:$I,'Leave Records'!$B:$B,$B75,'Leave Records'!$K:$K,"Approved",'Leave Records'!$F:$F,"&gt;="&amp;DATE(Config!$I$7,12,1),'Leave Records'!$F:$F,"&lt;="&amp;EOMONTH(DATE(Config!$I$7,12,1),0)))</f>
        <v/>
      </c>
      <c r="P75" s="11" t="str">
        <f t="shared" si="3"/>
        <v/>
      </c>
    </row>
    <row r="76" ht="17" customHeight="1" spans="1:16">
      <c r="A76" s="5" t="str">
        <f t="shared" si="2"/>
        <v/>
      </c>
      <c r="B76" s="12" t="str">
        <f>IF(Config!$B$78="","",Config!$B$78)</f>
        <v/>
      </c>
      <c r="C76" s="13" t="str">
        <f>IF(Config!$B$78="","",Config!$C$78)</f>
        <v/>
      </c>
      <c r="D76" s="9" t="str">
        <f>IF($B76="","",SUMIFS('Leave Records'!$I:$I,'Leave Records'!$B:$B,$B76,'Leave Records'!$K:$K,"Approved",'Leave Records'!$F:$F,"&gt;="&amp;DATE(Config!$I$7,1,1),'Leave Records'!$F:$F,"&lt;="&amp;EOMONTH(DATE(Config!$I$7,1,1),0)))</f>
        <v/>
      </c>
      <c r="E76" s="9" t="str">
        <f>IF($B76="","",SUMIFS('Leave Records'!$I:$I,'Leave Records'!$B:$B,$B76,'Leave Records'!$K:$K,"Approved",'Leave Records'!$F:$F,"&gt;="&amp;DATE(Config!$I$7,2,1),'Leave Records'!$F:$F,"&lt;="&amp;EOMONTH(DATE(Config!$I$7,2,1),0)))</f>
        <v/>
      </c>
      <c r="F76" s="9" t="str">
        <f>IF($B76="","",SUMIFS('Leave Records'!$I:$I,'Leave Records'!$B:$B,$B76,'Leave Records'!$K:$K,"Approved",'Leave Records'!$F:$F,"&gt;="&amp;DATE(Config!$I$7,3,1),'Leave Records'!$F:$F,"&lt;="&amp;EOMONTH(DATE(Config!$I$7,3,1),0)))</f>
        <v/>
      </c>
      <c r="G76" s="9" t="str">
        <f>IF($B76="","",SUMIFS('Leave Records'!$I:$I,'Leave Records'!$B:$B,$B76,'Leave Records'!$K:$K,"Approved",'Leave Records'!$F:$F,"&gt;="&amp;DATE(Config!$I$7,4,1),'Leave Records'!$F:$F,"&lt;="&amp;EOMONTH(DATE(Config!$I$7,4,1),0)))</f>
        <v/>
      </c>
      <c r="H76" s="9" t="str">
        <f>IF($B76="","",SUMIFS('Leave Records'!$I:$I,'Leave Records'!$B:$B,$B76,'Leave Records'!$K:$K,"Approved",'Leave Records'!$F:$F,"&gt;="&amp;DATE(Config!$I$7,5,1),'Leave Records'!$F:$F,"&lt;="&amp;EOMONTH(DATE(Config!$I$7,5,1),0)))</f>
        <v/>
      </c>
      <c r="I76" s="9" t="str">
        <f>IF($B76="","",SUMIFS('Leave Records'!$I:$I,'Leave Records'!$B:$B,$B76,'Leave Records'!$K:$K,"Approved",'Leave Records'!$F:$F,"&gt;="&amp;DATE(Config!$I$7,6,1),'Leave Records'!$F:$F,"&lt;="&amp;EOMONTH(DATE(Config!$I$7,6,1),0)))</f>
        <v/>
      </c>
      <c r="J76" s="9" t="str">
        <f>IF($B76="","",SUMIFS('Leave Records'!$I:$I,'Leave Records'!$B:$B,$B76,'Leave Records'!$K:$K,"Approved",'Leave Records'!$F:$F,"&gt;="&amp;DATE(Config!$I$7,7,1),'Leave Records'!$F:$F,"&lt;="&amp;EOMONTH(DATE(Config!$I$7,7,1),0)))</f>
        <v/>
      </c>
      <c r="K76" s="9" t="str">
        <f>IF($B76="","",SUMIFS('Leave Records'!$I:$I,'Leave Records'!$B:$B,$B76,'Leave Records'!$K:$K,"Approved",'Leave Records'!$F:$F,"&gt;="&amp;DATE(Config!$I$7,8,1),'Leave Records'!$F:$F,"&lt;="&amp;EOMONTH(DATE(Config!$I$7,8,1),0)))</f>
        <v/>
      </c>
      <c r="L76" s="9" t="str">
        <f>IF($B76="","",SUMIFS('Leave Records'!$I:$I,'Leave Records'!$B:$B,$B76,'Leave Records'!$K:$K,"Approved",'Leave Records'!$F:$F,"&gt;="&amp;DATE(Config!$I$7,9,1),'Leave Records'!$F:$F,"&lt;="&amp;EOMONTH(DATE(Config!$I$7,9,1),0)))</f>
        <v/>
      </c>
      <c r="M76" s="9" t="str">
        <f>IF($B76="","",SUMIFS('Leave Records'!$I:$I,'Leave Records'!$B:$B,$B76,'Leave Records'!$K:$K,"Approved",'Leave Records'!$F:$F,"&gt;="&amp;DATE(Config!$I$7,10,1),'Leave Records'!$F:$F,"&lt;="&amp;EOMONTH(DATE(Config!$I$7,10,1),0)))</f>
        <v/>
      </c>
      <c r="N76" s="9" t="str">
        <f>IF($B76="","",SUMIFS('Leave Records'!$I:$I,'Leave Records'!$B:$B,$B76,'Leave Records'!$K:$K,"Approved",'Leave Records'!$F:$F,"&gt;="&amp;DATE(Config!$I$7,11,1),'Leave Records'!$F:$F,"&lt;="&amp;EOMONTH(DATE(Config!$I$7,11,1),0)))</f>
        <v/>
      </c>
      <c r="O76" s="9" t="str">
        <f>IF($B76="","",SUMIFS('Leave Records'!$I:$I,'Leave Records'!$B:$B,$B76,'Leave Records'!$K:$K,"Approved",'Leave Records'!$F:$F,"&gt;="&amp;DATE(Config!$I$7,12,1),'Leave Records'!$F:$F,"&lt;="&amp;EOMONTH(DATE(Config!$I$7,12,1),0)))</f>
        <v/>
      </c>
      <c r="P76" s="14" t="str">
        <f t="shared" si="3"/>
        <v/>
      </c>
    </row>
    <row r="77" ht="17" customHeight="1" spans="1:16">
      <c r="A77" s="5" t="str">
        <f t="shared" si="2"/>
        <v/>
      </c>
      <c r="B77" s="6" t="str">
        <f>IF(Config!$B$79="","",Config!$B$79)</f>
        <v/>
      </c>
      <c r="C77" s="7" t="str">
        <f>IF(Config!$B$79="","",Config!$C$79)</f>
        <v/>
      </c>
      <c r="D77" s="8" t="str">
        <f>IF($B77="","",SUMIFS('Leave Records'!$I:$I,'Leave Records'!$B:$B,$B77,'Leave Records'!$K:$K,"Approved",'Leave Records'!$F:$F,"&gt;="&amp;DATE(Config!$I$7,1,1),'Leave Records'!$F:$F,"&lt;="&amp;EOMONTH(DATE(Config!$I$7,1,1),0)))</f>
        <v/>
      </c>
      <c r="E77" s="9" t="str">
        <f>IF($B77="","",SUMIFS('Leave Records'!$I:$I,'Leave Records'!$B:$B,$B77,'Leave Records'!$K:$K,"Approved",'Leave Records'!$F:$F,"&gt;="&amp;DATE(Config!$I$7,2,1),'Leave Records'!$F:$F,"&lt;="&amp;EOMONTH(DATE(Config!$I$7,2,1),0)))</f>
        <v/>
      </c>
      <c r="F77" s="8" t="str">
        <f>IF($B77="","",SUMIFS('Leave Records'!$I:$I,'Leave Records'!$B:$B,$B77,'Leave Records'!$K:$K,"Approved",'Leave Records'!$F:$F,"&gt;="&amp;DATE(Config!$I$7,3,1),'Leave Records'!$F:$F,"&lt;="&amp;EOMONTH(DATE(Config!$I$7,3,1),0)))</f>
        <v/>
      </c>
      <c r="G77" s="10" t="str">
        <f>IF($B77="","",SUMIFS('Leave Records'!$I:$I,'Leave Records'!$B:$B,$B77,'Leave Records'!$K:$K,"Approved",'Leave Records'!$F:$F,"&gt;="&amp;DATE(Config!$I$7,4,1),'Leave Records'!$F:$F,"&lt;="&amp;EOMONTH(DATE(Config!$I$7,4,1),0)))</f>
        <v/>
      </c>
      <c r="H77" s="10" t="str">
        <f>IF($B77="","",SUMIFS('Leave Records'!$I:$I,'Leave Records'!$B:$B,$B77,'Leave Records'!$K:$K,"Approved",'Leave Records'!$F:$F,"&gt;="&amp;DATE(Config!$I$7,5,1),'Leave Records'!$F:$F,"&lt;="&amp;EOMONTH(DATE(Config!$I$7,5,1),0)))</f>
        <v/>
      </c>
      <c r="I77" s="8" t="str">
        <f>IF($B77="","",SUMIFS('Leave Records'!$I:$I,'Leave Records'!$B:$B,$B77,'Leave Records'!$K:$K,"Approved",'Leave Records'!$F:$F,"&gt;="&amp;DATE(Config!$I$7,6,1),'Leave Records'!$F:$F,"&lt;="&amp;EOMONTH(DATE(Config!$I$7,6,1),0)))</f>
        <v/>
      </c>
      <c r="J77" s="8" t="str">
        <f>IF($B77="","",SUMIFS('Leave Records'!$I:$I,'Leave Records'!$B:$B,$B77,'Leave Records'!$K:$K,"Approved",'Leave Records'!$F:$F,"&gt;="&amp;DATE(Config!$I$7,7,1),'Leave Records'!$F:$F,"&lt;="&amp;EOMONTH(DATE(Config!$I$7,7,1),0)))</f>
        <v/>
      </c>
      <c r="K77" s="9" t="str">
        <f>IF($B77="","",SUMIFS('Leave Records'!$I:$I,'Leave Records'!$B:$B,$B77,'Leave Records'!$K:$K,"Approved",'Leave Records'!$F:$F,"&gt;="&amp;DATE(Config!$I$7,8,1),'Leave Records'!$F:$F,"&lt;="&amp;EOMONTH(DATE(Config!$I$7,8,1),0)))</f>
        <v/>
      </c>
      <c r="L77" s="8" t="str">
        <f>IF($B77="","",SUMIFS('Leave Records'!$I:$I,'Leave Records'!$B:$B,$B77,'Leave Records'!$K:$K,"Approved",'Leave Records'!$F:$F,"&gt;="&amp;DATE(Config!$I$7,9,1),'Leave Records'!$F:$F,"&lt;="&amp;EOMONTH(DATE(Config!$I$7,9,1),0)))</f>
        <v/>
      </c>
      <c r="M77" s="10" t="str">
        <f>IF($B77="","",SUMIFS('Leave Records'!$I:$I,'Leave Records'!$B:$B,$B77,'Leave Records'!$K:$K,"Approved",'Leave Records'!$F:$F,"&gt;="&amp;DATE(Config!$I$7,10,1),'Leave Records'!$F:$F,"&lt;="&amp;EOMONTH(DATE(Config!$I$7,10,1),0)))</f>
        <v/>
      </c>
      <c r="N77" s="10" t="str">
        <f>IF($B77="","",SUMIFS('Leave Records'!$I:$I,'Leave Records'!$B:$B,$B77,'Leave Records'!$K:$K,"Approved",'Leave Records'!$F:$F,"&gt;="&amp;DATE(Config!$I$7,11,1),'Leave Records'!$F:$F,"&lt;="&amp;EOMONTH(DATE(Config!$I$7,11,1),0)))</f>
        <v/>
      </c>
      <c r="O77" s="8" t="str">
        <f>IF($B77="","",SUMIFS('Leave Records'!$I:$I,'Leave Records'!$B:$B,$B77,'Leave Records'!$K:$K,"Approved",'Leave Records'!$F:$F,"&gt;="&amp;DATE(Config!$I$7,12,1),'Leave Records'!$F:$F,"&lt;="&amp;EOMONTH(DATE(Config!$I$7,12,1),0)))</f>
        <v/>
      </c>
      <c r="P77" s="11" t="str">
        <f t="shared" si="3"/>
        <v/>
      </c>
    </row>
    <row r="78" ht="17" customHeight="1" spans="1:16">
      <c r="A78" s="5" t="str">
        <f t="shared" si="2"/>
        <v/>
      </c>
      <c r="B78" s="12" t="str">
        <f>IF(Config!$B$80="","",Config!$B$80)</f>
        <v/>
      </c>
      <c r="C78" s="13" t="str">
        <f>IF(Config!$B$80="","",Config!$C$80)</f>
        <v/>
      </c>
      <c r="D78" s="9" t="str">
        <f>IF($B78="","",SUMIFS('Leave Records'!$I:$I,'Leave Records'!$B:$B,$B78,'Leave Records'!$K:$K,"Approved",'Leave Records'!$F:$F,"&gt;="&amp;DATE(Config!$I$7,1,1),'Leave Records'!$F:$F,"&lt;="&amp;EOMONTH(DATE(Config!$I$7,1,1),0)))</f>
        <v/>
      </c>
      <c r="E78" s="9" t="str">
        <f>IF($B78="","",SUMIFS('Leave Records'!$I:$I,'Leave Records'!$B:$B,$B78,'Leave Records'!$K:$K,"Approved",'Leave Records'!$F:$F,"&gt;="&amp;DATE(Config!$I$7,2,1),'Leave Records'!$F:$F,"&lt;="&amp;EOMONTH(DATE(Config!$I$7,2,1),0)))</f>
        <v/>
      </c>
      <c r="F78" s="9" t="str">
        <f>IF($B78="","",SUMIFS('Leave Records'!$I:$I,'Leave Records'!$B:$B,$B78,'Leave Records'!$K:$K,"Approved",'Leave Records'!$F:$F,"&gt;="&amp;DATE(Config!$I$7,3,1),'Leave Records'!$F:$F,"&lt;="&amp;EOMONTH(DATE(Config!$I$7,3,1),0)))</f>
        <v/>
      </c>
      <c r="G78" s="9" t="str">
        <f>IF($B78="","",SUMIFS('Leave Records'!$I:$I,'Leave Records'!$B:$B,$B78,'Leave Records'!$K:$K,"Approved",'Leave Records'!$F:$F,"&gt;="&amp;DATE(Config!$I$7,4,1),'Leave Records'!$F:$F,"&lt;="&amp;EOMONTH(DATE(Config!$I$7,4,1),0)))</f>
        <v/>
      </c>
      <c r="H78" s="9" t="str">
        <f>IF($B78="","",SUMIFS('Leave Records'!$I:$I,'Leave Records'!$B:$B,$B78,'Leave Records'!$K:$K,"Approved",'Leave Records'!$F:$F,"&gt;="&amp;DATE(Config!$I$7,5,1),'Leave Records'!$F:$F,"&lt;="&amp;EOMONTH(DATE(Config!$I$7,5,1),0)))</f>
        <v/>
      </c>
      <c r="I78" s="9" t="str">
        <f>IF($B78="","",SUMIFS('Leave Records'!$I:$I,'Leave Records'!$B:$B,$B78,'Leave Records'!$K:$K,"Approved",'Leave Records'!$F:$F,"&gt;="&amp;DATE(Config!$I$7,6,1),'Leave Records'!$F:$F,"&lt;="&amp;EOMONTH(DATE(Config!$I$7,6,1),0)))</f>
        <v/>
      </c>
      <c r="J78" s="9" t="str">
        <f>IF($B78="","",SUMIFS('Leave Records'!$I:$I,'Leave Records'!$B:$B,$B78,'Leave Records'!$K:$K,"Approved",'Leave Records'!$F:$F,"&gt;="&amp;DATE(Config!$I$7,7,1),'Leave Records'!$F:$F,"&lt;="&amp;EOMONTH(DATE(Config!$I$7,7,1),0)))</f>
        <v/>
      </c>
      <c r="K78" s="9" t="str">
        <f>IF($B78="","",SUMIFS('Leave Records'!$I:$I,'Leave Records'!$B:$B,$B78,'Leave Records'!$K:$K,"Approved",'Leave Records'!$F:$F,"&gt;="&amp;DATE(Config!$I$7,8,1),'Leave Records'!$F:$F,"&lt;="&amp;EOMONTH(DATE(Config!$I$7,8,1),0)))</f>
        <v/>
      </c>
      <c r="L78" s="9" t="str">
        <f>IF($B78="","",SUMIFS('Leave Records'!$I:$I,'Leave Records'!$B:$B,$B78,'Leave Records'!$K:$K,"Approved",'Leave Records'!$F:$F,"&gt;="&amp;DATE(Config!$I$7,9,1),'Leave Records'!$F:$F,"&lt;="&amp;EOMONTH(DATE(Config!$I$7,9,1),0)))</f>
        <v/>
      </c>
      <c r="M78" s="9" t="str">
        <f>IF($B78="","",SUMIFS('Leave Records'!$I:$I,'Leave Records'!$B:$B,$B78,'Leave Records'!$K:$K,"Approved",'Leave Records'!$F:$F,"&gt;="&amp;DATE(Config!$I$7,10,1),'Leave Records'!$F:$F,"&lt;="&amp;EOMONTH(DATE(Config!$I$7,10,1),0)))</f>
        <v/>
      </c>
      <c r="N78" s="9" t="str">
        <f>IF($B78="","",SUMIFS('Leave Records'!$I:$I,'Leave Records'!$B:$B,$B78,'Leave Records'!$K:$K,"Approved",'Leave Records'!$F:$F,"&gt;="&amp;DATE(Config!$I$7,11,1),'Leave Records'!$F:$F,"&lt;="&amp;EOMONTH(DATE(Config!$I$7,11,1),0)))</f>
        <v/>
      </c>
      <c r="O78" s="9" t="str">
        <f>IF($B78="","",SUMIFS('Leave Records'!$I:$I,'Leave Records'!$B:$B,$B78,'Leave Records'!$K:$K,"Approved",'Leave Records'!$F:$F,"&gt;="&amp;DATE(Config!$I$7,12,1),'Leave Records'!$F:$F,"&lt;="&amp;EOMONTH(DATE(Config!$I$7,12,1),0)))</f>
        <v/>
      </c>
      <c r="P78" s="14" t="str">
        <f t="shared" si="3"/>
        <v/>
      </c>
    </row>
    <row r="79" ht="17" customHeight="1" spans="1:16">
      <c r="A79" s="5" t="str">
        <f t="shared" si="2"/>
        <v/>
      </c>
      <c r="B79" s="6" t="str">
        <f>IF(Config!$B$81="","",Config!$B$81)</f>
        <v/>
      </c>
      <c r="C79" s="7" t="str">
        <f>IF(Config!$B$81="","",Config!$C$81)</f>
        <v/>
      </c>
      <c r="D79" s="8" t="str">
        <f>IF($B79="","",SUMIFS('Leave Records'!$I:$I,'Leave Records'!$B:$B,$B79,'Leave Records'!$K:$K,"Approved",'Leave Records'!$F:$F,"&gt;="&amp;DATE(Config!$I$7,1,1),'Leave Records'!$F:$F,"&lt;="&amp;EOMONTH(DATE(Config!$I$7,1,1),0)))</f>
        <v/>
      </c>
      <c r="E79" s="9" t="str">
        <f>IF($B79="","",SUMIFS('Leave Records'!$I:$I,'Leave Records'!$B:$B,$B79,'Leave Records'!$K:$K,"Approved",'Leave Records'!$F:$F,"&gt;="&amp;DATE(Config!$I$7,2,1),'Leave Records'!$F:$F,"&lt;="&amp;EOMONTH(DATE(Config!$I$7,2,1),0)))</f>
        <v/>
      </c>
      <c r="F79" s="8" t="str">
        <f>IF($B79="","",SUMIFS('Leave Records'!$I:$I,'Leave Records'!$B:$B,$B79,'Leave Records'!$K:$K,"Approved",'Leave Records'!$F:$F,"&gt;="&amp;DATE(Config!$I$7,3,1),'Leave Records'!$F:$F,"&lt;="&amp;EOMONTH(DATE(Config!$I$7,3,1),0)))</f>
        <v/>
      </c>
      <c r="G79" s="10" t="str">
        <f>IF($B79="","",SUMIFS('Leave Records'!$I:$I,'Leave Records'!$B:$B,$B79,'Leave Records'!$K:$K,"Approved",'Leave Records'!$F:$F,"&gt;="&amp;DATE(Config!$I$7,4,1),'Leave Records'!$F:$F,"&lt;="&amp;EOMONTH(DATE(Config!$I$7,4,1),0)))</f>
        <v/>
      </c>
      <c r="H79" s="10" t="str">
        <f>IF($B79="","",SUMIFS('Leave Records'!$I:$I,'Leave Records'!$B:$B,$B79,'Leave Records'!$K:$K,"Approved",'Leave Records'!$F:$F,"&gt;="&amp;DATE(Config!$I$7,5,1),'Leave Records'!$F:$F,"&lt;="&amp;EOMONTH(DATE(Config!$I$7,5,1),0)))</f>
        <v/>
      </c>
      <c r="I79" s="8" t="str">
        <f>IF($B79="","",SUMIFS('Leave Records'!$I:$I,'Leave Records'!$B:$B,$B79,'Leave Records'!$K:$K,"Approved",'Leave Records'!$F:$F,"&gt;="&amp;DATE(Config!$I$7,6,1),'Leave Records'!$F:$F,"&lt;="&amp;EOMONTH(DATE(Config!$I$7,6,1),0)))</f>
        <v/>
      </c>
      <c r="J79" s="8" t="str">
        <f>IF($B79="","",SUMIFS('Leave Records'!$I:$I,'Leave Records'!$B:$B,$B79,'Leave Records'!$K:$K,"Approved",'Leave Records'!$F:$F,"&gt;="&amp;DATE(Config!$I$7,7,1),'Leave Records'!$F:$F,"&lt;="&amp;EOMONTH(DATE(Config!$I$7,7,1),0)))</f>
        <v/>
      </c>
      <c r="K79" s="9" t="str">
        <f>IF($B79="","",SUMIFS('Leave Records'!$I:$I,'Leave Records'!$B:$B,$B79,'Leave Records'!$K:$K,"Approved",'Leave Records'!$F:$F,"&gt;="&amp;DATE(Config!$I$7,8,1),'Leave Records'!$F:$F,"&lt;="&amp;EOMONTH(DATE(Config!$I$7,8,1),0)))</f>
        <v/>
      </c>
      <c r="L79" s="8" t="str">
        <f>IF($B79="","",SUMIFS('Leave Records'!$I:$I,'Leave Records'!$B:$B,$B79,'Leave Records'!$K:$K,"Approved",'Leave Records'!$F:$F,"&gt;="&amp;DATE(Config!$I$7,9,1),'Leave Records'!$F:$F,"&lt;="&amp;EOMONTH(DATE(Config!$I$7,9,1),0)))</f>
        <v/>
      </c>
      <c r="M79" s="10" t="str">
        <f>IF($B79="","",SUMIFS('Leave Records'!$I:$I,'Leave Records'!$B:$B,$B79,'Leave Records'!$K:$K,"Approved",'Leave Records'!$F:$F,"&gt;="&amp;DATE(Config!$I$7,10,1),'Leave Records'!$F:$F,"&lt;="&amp;EOMONTH(DATE(Config!$I$7,10,1),0)))</f>
        <v/>
      </c>
      <c r="N79" s="10" t="str">
        <f>IF($B79="","",SUMIFS('Leave Records'!$I:$I,'Leave Records'!$B:$B,$B79,'Leave Records'!$K:$K,"Approved",'Leave Records'!$F:$F,"&gt;="&amp;DATE(Config!$I$7,11,1),'Leave Records'!$F:$F,"&lt;="&amp;EOMONTH(DATE(Config!$I$7,11,1),0)))</f>
        <v/>
      </c>
      <c r="O79" s="8" t="str">
        <f>IF($B79="","",SUMIFS('Leave Records'!$I:$I,'Leave Records'!$B:$B,$B79,'Leave Records'!$K:$K,"Approved",'Leave Records'!$F:$F,"&gt;="&amp;DATE(Config!$I$7,12,1),'Leave Records'!$F:$F,"&lt;="&amp;EOMONTH(DATE(Config!$I$7,12,1),0)))</f>
        <v/>
      </c>
      <c r="P79" s="11" t="str">
        <f t="shared" si="3"/>
        <v/>
      </c>
    </row>
    <row r="80" ht="17" customHeight="1" spans="1:16">
      <c r="A80" s="5" t="str">
        <f t="shared" si="2"/>
        <v/>
      </c>
      <c r="B80" s="12" t="str">
        <f>IF(Config!$B$82="","",Config!$B$82)</f>
        <v/>
      </c>
      <c r="C80" s="13" t="str">
        <f>IF(Config!$B$82="","",Config!$C$82)</f>
        <v/>
      </c>
      <c r="D80" s="9" t="str">
        <f>IF($B80="","",SUMIFS('Leave Records'!$I:$I,'Leave Records'!$B:$B,$B80,'Leave Records'!$K:$K,"Approved",'Leave Records'!$F:$F,"&gt;="&amp;DATE(Config!$I$7,1,1),'Leave Records'!$F:$F,"&lt;="&amp;EOMONTH(DATE(Config!$I$7,1,1),0)))</f>
        <v/>
      </c>
      <c r="E80" s="9" t="str">
        <f>IF($B80="","",SUMIFS('Leave Records'!$I:$I,'Leave Records'!$B:$B,$B80,'Leave Records'!$K:$K,"Approved",'Leave Records'!$F:$F,"&gt;="&amp;DATE(Config!$I$7,2,1),'Leave Records'!$F:$F,"&lt;="&amp;EOMONTH(DATE(Config!$I$7,2,1),0)))</f>
        <v/>
      </c>
      <c r="F80" s="9" t="str">
        <f>IF($B80="","",SUMIFS('Leave Records'!$I:$I,'Leave Records'!$B:$B,$B80,'Leave Records'!$K:$K,"Approved",'Leave Records'!$F:$F,"&gt;="&amp;DATE(Config!$I$7,3,1),'Leave Records'!$F:$F,"&lt;="&amp;EOMONTH(DATE(Config!$I$7,3,1),0)))</f>
        <v/>
      </c>
      <c r="G80" s="9" t="str">
        <f>IF($B80="","",SUMIFS('Leave Records'!$I:$I,'Leave Records'!$B:$B,$B80,'Leave Records'!$K:$K,"Approved",'Leave Records'!$F:$F,"&gt;="&amp;DATE(Config!$I$7,4,1),'Leave Records'!$F:$F,"&lt;="&amp;EOMONTH(DATE(Config!$I$7,4,1),0)))</f>
        <v/>
      </c>
      <c r="H80" s="9" t="str">
        <f>IF($B80="","",SUMIFS('Leave Records'!$I:$I,'Leave Records'!$B:$B,$B80,'Leave Records'!$K:$K,"Approved",'Leave Records'!$F:$F,"&gt;="&amp;DATE(Config!$I$7,5,1),'Leave Records'!$F:$F,"&lt;="&amp;EOMONTH(DATE(Config!$I$7,5,1),0)))</f>
        <v/>
      </c>
      <c r="I80" s="9" t="str">
        <f>IF($B80="","",SUMIFS('Leave Records'!$I:$I,'Leave Records'!$B:$B,$B80,'Leave Records'!$K:$K,"Approved",'Leave Records'!$F:$F,"&gt;="&amp;DATE(Config!$I$7,6,1),'Leave Records'!$F:$F,"&lt;="&amp;EOMONTH(DATE(Config!$I$7,6,1),0)))</f>
        <v/>
      </c>
      <c r="J80" s="9" t="str">
        <f>IF($B80="","",SUMIFS('Leave Records'!$I:$I,'Leave Records'!$B:$B,$B80,'Leave Records'!$K:$K,"Approved",'Leave Records'!$F:$F,"&gt;="&amp;DATE(Config!$I$7,7,1),'Leave Records'!$F:$F,"&lt;="&amp;EOMONTH(DATE(Config!$I$7,7,1),0)))</f>
        <v/>
      </c>
      <c r="K80" s="9" t="str">
        <f>IF($B80="","",SUMIFS('Leave Records'!$I:$I,'Leave Records'!$B:$B,$B80,'Leave Records'!$K:$K,"Approved",'Leave Records'!$F:$F,"&gt;="&amp;DATE(Config!$I$7,8,1),'Leave Records'!$F:$F,"&lt;="&amp;EOMONTH(DATE(Config!$I$7,8,1),0)))</f>
        <v/>
      </c>
      <c r="L80" s="9" t="str">
        <f>IF($B80="","",SUMIFS('Leave Records'!$I:$I,'Leave Records'!$B:$B,$B80,'Leave Records'!$K:$K,"Approved",'Leave Records'!$F:$F,"&gt;="&amp;DATE(Config!$I$7,9,1),'Leave Records'!$F:$F,"&lt;="&amp;EOMONTH(DATE(Config!$I$7,9,1),0)))</f>
        <v/>
      </c>
      <c r="M80" s="9" t="str">
        <f>IF($B80="","",SUMIFS('Leave Records'!$I:$I,'Leave Records'!$B:$B,$B80,'Leave Records'!$K:$K,"Approved",'Leave Records'!$F:$F,"&gt;="&amp;DATE(Config!$I$7,10,1),'Leave Records'!$F:$F,"&lt;="&amp;EOMONTH(DATE(Config!$I$7,10,1),0)))</f>
        <v/>
      </c>
      <c r="N80" s="9" t="str">
        <f>IF($B80="","",SUMIFS('Leave Records'!$I:$I,'Leave Records'!$B:$B,$B80,'Leave Records'!$K:$K,"Approved",'Leave Records'!$F:$F,"&gt;="&amp;DATE(Config!$I$7,11,1),'Leave Records'!$F:$F,"&lt;="&amp;EOMONTH(DATE(Config!$I$7,11,1),0)))</f>
        <v/>
      </c>
      <c r="O80" s="9" t="str">
        <f>IF($B80="","",SUMIFS('Leave Records'!$I:$I,'Leave Records'!$B:$B,$B80,'Leave Records'!$K:$K,"Approved",'Leave Records'!$F:$F,"&gt;="&amp;DATE(Config!$I$7,12,1),'Leave Records'!$F:$F,"&lt;="&amp;EOMONTH(DATE(Config!$I$7,12,1),0)))</f>
        <v/>
      </c>
      <c r="P80" s="14" t="str">
        <f t="shared" si="3"/>
        <v/>
      </c>
    </row>
    <row r="81" ht="17" customHeight="1" spans="1:16">
      <c r="A81" s="5" t="str">
        <f t="shared" si="2"/>
        <v/>
      </c>
      <c r="B81" s="6" t="str">
        <f>IF(Config!$B$83="","",Config!$B$83)</f>
        <v/>
      </c>
      <c r="C81" s="7" t="str">
        <f>IF(Config!$B$83="","",Config!$C$83)</f>
        <v/>
      </c>
      <c r="D81" s="8" t="str">
        <f>IF($B81="","",SUMIFS('Leave Records'!$I:$I,'Leave Records'!$B:$B,$B81,'Leave Records'!$K:$K,"Approved",'Leave Records'!$F:$F,"&gt;="&amp;DATE(Config!$I$7,1,1),'Leave Records'!$F:$F,"&lt;="&amp;EOMONTH(DATE(Config!$I$7,1,1),0)))</f>
        <v/>
      </c>
      <c r="E81" s="9" t="str">
        <f>IF($B81="","",SUMIFS('Leave Records'!$I:$I,'Leave Records'!$B:$B,$B81,'Leave Records'!$K:$K,"Approved",'Leave Records'!$F:$F,"&gt;="&amp;DATE(Config!$I$7,2,1),'Leave Records'!$F:$F,"&lt;="&amp;EOMONTH(DATE(Config!$I$7,2,1),0)))</f>
        <v/>
      </c>
      <c r="F81" s="8" t="str">
        <f>IF($B81="","",SUMIFS('Leave Records'!$I:$I,'Leave Records'!$B:$B,$B81,'Leave Records'!$K:$K,"Approved",'Leave Records'!$F:$F,"&gt;="&amp;DATE(Config!$I$7,3,1),'Leave Records'!$F:$F,"&lt;="&amp;EOMONTH(DATE(Config!$I$7,3,1),0)))</f>
        <v/>
      </c>
      <c r="G81" s="10" t="str">
        <f>IF($B81="","",SUMIFS('Leave Records'!$I:$I,'Leave Records'!$B:$B,$B81,'Leave Records'!$K:$K,"Approved",'Leave Records'!$F:$F,"&gt;="&amp;DATE(Config!$I$7,4,1),'Leave Records'!$F:$F,"&lt;="&amp;EOMONTH(DATE(Config!$I$7,4,1),0)))</f>
        <v/>
      </c>
      <c r="H81" s="10" t="str">
        <f>IF($B81="","",SUMIFS('Leave Records'!$I:$I,'Leave Records'!$B:$B,$B81,'Leave Records'!$K:$K,"Approved",'Leave Records'!$F:$F,"&gt;="&amp;DATE(Config!$I$7,5,1),'Leave Records'!$F:$F,"&lt;="&amp;EOMONTH(DATE(Config!$I$7,5,1),0)))</f>
        <v/>
      </c>
      <c r="I81" s="8" t="str">
        <f>IF($B81="","",SUMIFS('Leave Records'!$I:$I,'Leave Records'!$B:$B,$B81,'Leave Records'!$K:$K,"Approved",'Leave Records'!$F:$F,"&gt;="&amp;DATE(Config!$I$7,6,1),'Leave Records'!$F:$F,"&lt;="&amp;EOMONTH(DATE(Config!$I$7,6,1),0)))</f>
        <v/>
      </c>
      <c r="J81" s="8" t="str">
        <f>IF($B81="","",SUMIFS('Leave Records'!$I:$I,'Leave Records'!$B:$B,$B81,'Leave Records'!$K:$K,"Approved",'Leave Records'!$F:$F,"&gt;="&amp;DATE(Config!$I$7,7,1),'Leave Records'!$F:$F,"&lt;="&amp;EOMONTH(DATE(Config!$I$7,7,1),0)))</f>
        <v/>
      </c>
      <c r="K81" s="9" t="str">
        <f>IF($B81="","",SUMIFS('Leave Records'!$I:$I,'Leave Records'!$B:$B,$B81,'Leave Records'!$K:$K,"Approved",'Leave Records'!$F:$F,"&gt;="&amp;DATE(Config!$I$7,8,1),'Leave Records'!$F:$F,"&lt;="&amp;EOMONTH(DATE(Config!$I$7,8,1),0)))</f>
        <v/>
      </c>
      <c r="L81" s="8" t="str">
        <f>IF($B81="","",SUMIFS('Leave Records'!$I:$I,'Leave Records'!$B:$B,$B81,'Leave Records'!$K:$K,"Approved",'Leave Records'!$F:$F,"&gt;="&amp;DATE(Config!$I$7,9,1),'Leave Records'!$F:$F,"&lt;="&amp;EOMONTH(DATE(Config!$I$7,9,1),0)))</f>
        <v/>
      </c>
      <c r="M81" s="10" t="str">
        <f>IF($B81="","",SUMIFS('Leave Records'!$I:$I,'Leave Records'!$B:$B,$B81,'Leave Records'!$K:$K,"Approved",'Leave Records'!$F:$F,"&gt;="&amp;DATE(Config!$I$7,10,1),'Leave Records'!$F:$F,"&lt;="&amp;EOMONTH(DATE(Config!$I$7,10,1),0)))</f>
        <v/>
      </c>
      <c r="N81" s="10" t="str">
        <f>IF($B81="","",SUMIFS('Leave Records'!$I:$I,'Leave Records'!$B:$B,$B81,'Leave Records'!$K:$K,"Approved",'Leave Records'!$F:$F,"&gt;="&amp;DATE(Config!$I$7,11,1),'Leave Records'!$F:$F,"&lt;="&amp;EOMONTH(DATE(Config!$I$7,11,1),0)))</f>
        <v/>
      </c>
      <c r="O81" s="8" t="str">
        <f>IF($B81="","",SUMIFS('Leave Records'!$I:$I,'Leave Records'!$B:$B,$B81,'Leave Records'!$K:$K,"Approved",'Leave Records'!$F:$F,"&gt;="&amp;DATE(Config!$I$7,12,1),'Leave Records'!$F:$F,"&lt;="&amp;EOMONTH(DATE(Config!$I$7,12,1),0)))</f>
        <v/>
      </c>
      <c r="P81" s="11" t="str">
        <f t="shared" si="3"/>
        <v/>
      </c>
    </row>
    <row r="82" ht="17" customHeight="1" spans="1:16">
      <c r="A82" s="5" t="str">
        <f t="shared" si="2"/>
        <v/>
      </c>
      <c r="B82" s="12" t="str">
        <f>IF(Config!$B$84="","",Config!$B$84)</f>
        <v/>
      </c>
      <c r="C82" s="13" t="str">
        <f>IF(Config!$B$84="","",Config!$C$84)</f>
        <v/>
      </c>
      <c r="D82" s="9" t="str">
        <f>IF($B82="","",SUMIFS('Leave Records'!$I:$I,'Leave Records'!$B:$B,$B82,'Leave Records'!$K:$K,"Approved",'Leave Records'!$F:$F,"&gt;="&amp;DATE(Config!$I$7,1,1),'Leave Records'!$F:$F,"&lt;="&amp;EOMONTH(DATE(Config!$I$7,1,1),0)))</f>
        <v/>
      </c>
      <c r="E82" s="9" t="str">
        <f>IF($B82="","",SUMIFS('Leave Records'!$I:$I,'Leave Records'!$B:$B,$B82,'Leave Records'!$K:$K,"Approved",'Leave Records'!$F:$F,"&gt;="&amp;DATE(Config!$I$7,2,1),'Leave Records'!$F:$F,"&lt;="&amp;EOMONTH(DATE(Config!$I$7,2,1),0)))</f>
        <v/>
      </c>
      <c r="F82" s="9" t="str">
        <f>IF($B82="","",SUMIFS('Leave Records'!$I:$I,'Leave Records'!$B:$B,$B82,'Leave Records'!$K:$K,"Approved",'Leave Records'!$F:$F,"&gt;="&amp;DATE(Config!$I$7,3,1),'Leave Records'!$F:$F,"&lt;="&amp;EOMONTH(DATE(Config!$I$7,3,1),0)))</f>
        <v/>
      </c>
      <c r="G82" s="9" t="str">
        <f>IF($B82="","",SUMIFS('Leave Records'!$I:$I,'Leave Records'!$B:$B,$B82,'Leave Records'!$K:$K,"Approved",'Leave Records'!$F:$F,"&gt;="&amp;DATE(Config!$I$7,4,1),'Leave Records'!$F:$F,"&lt;="&amp;EOMONTH(DATE(Config!$I$7,4,1),0)))</f>
        <v/>
      </c>
      <c r="H82" s="9" t="str">
        <f>IF($B82="","",SUMIFS('Leave Records'!$I:$I,'Leave Records'!$B:$B,$B82,'Leave Records'!$K:$K,"Approved",'Leave Records'!$F:$F,"&gt;="&amp;DATE(Config!$I$7,5,1),'Leave Records'!$F:$F,"&lt;="&amp;EOMONTH(DATE(Config!$I$7,5,1),0)))</f>
        <v/>
      </c>
      <c r="I82" s="9" t="str">
        <f>IF($B82="","",SUMIFS('Leave Records'!$I:$I,'Leave Records'!$B:$B,$B82,'Leave Records'!$K:$K,"Approved",'Leave Records'!$F:$F,"&gt;="&amp;DATE(Config!$I$7,6,1),'Leave Records'!$F:$F,"&lt;="&amp;EOMONTH(DATE(Config!$I$7,6,1),0)))</f>
        <v/>
      </c>
      <c r="J82" s="9" t="str">
        <f>IF($B82="","",SUMIFS('Leave Records'!$I:$I,'Leave Records'!$B:$B,$B82,'Leave Records'!$K:$K,"Approved",'Leave Records'!$F:$F,"&gt;="&amp;DATE(Config!$I$7,7,1),'Leave Records'!$F:$F,"&lt;="&amp;EOMONTH(DATE(Config!$I$7,7,1),0)))</f>
        <v/>
      </c>
      <c r="K82" s="9" t="str">
        <f>IF($B82="","",SUMIFS('Leave Records'!$I:$I,'Leave Records'!$B:$B,$B82,'Leave Records'!$K:$K,"Approved",'Leave Records'!$F:$F,"&gt;="&amp;DATE(Config!$I$7,8,1),'Leave Records'!$F:$F,"&lt;="&amp;EOMONTH(DATE(Config!$I$7,8,1),0)))</f>
        <v/>
      </c>
      <c r="L82" s="9" t="str">
        <f>IF($B82="","",SUMIFS('Leave Records'!$I:$I,'Leave Records'!$B:$B,$B82,'Leave Records'!$K:$K,"Approved",'Leave Records'!$F:$F,"&gt;="&amp;DATE(Config!$I$7,9,1),'Leave Records'!$F:$F,"&lt;="&amp;EOMONTH(DATE(Config!$I$7,9,1),0)))</f>
        <v/>
      </c>
      <c r="M82" s="9" t="str">
        <f>IF($B82="","",SUMIFS('Leave Records'!$I:$I,'Leave Records'!$B:$B,$B82,'Leave Records'!$K:$K,"Approved",'Leave Records'!$F:$F,"&gt;="&amp;DATE(Config!$I$7,10,1),'Leave Records'!$F:$F,"&lt;="&amp;EOMONTH(DATE(Config!$I$7,10,1),0)))</f>
        <v/>
      </c>
      <c r="N82" s="9" t="str">
        <f>IF($B82="","",SUMIFS('Leave Records'!$I:$I,'Leave Records'!$B:$B,$B82,'Leave Records'!$K:$K,"Approved",'Leave Records'!$F:$F,"&gt;="&amp;DATE(Config!$I$7,11,1),'Leave Records'!$F:$F,"&lt;="&amp;EOMONTH(DATE(Config!$I$7,11,1),0)))</f>
        <v/>
      </c>
      <c r="O82" s="9" t="str">
        <f>IF($B82="","",SUMIFS('Leave Records'!$I:$I,'Leave Records'!$B:$B,$B82,'Leave Records'!$K:$K,"Approved",'Leave Records'!$F:$F,"&gt;="&amp;DATE(Config!$I$7,12,1),'Leave Records'!$F:$F,"&lt;="&amp;EOMONTH(DATE(Config!$I$7,12,1),0)))</f>
        <v/>
      </c>
      <c r="P82" s="14" t="str">
        <f t="shared" si="3"/>
        <v/>
      </c>
    </row>
    <row r="83" ht="17" customHeight="1" spans="1:16">
      <c r="A83" s="5" t="str">
        <f t="shared" si="2"/>
        <v/>
      </c>
      <c r="B83" s="6" t="str">
        <f>IF(Config!$B$85="","",Config!$B$85)</f>
        <v/>
      </c>
      <c r="C83" s="7" t="str">
        <f>IF(Config!$B$85="","",Config!$C$85)</f>
        <v/>
      </c>
      <c r="D83" s="8" t="str">
        <f>IF($B83="","",SUMIFS('Leave Records'!$I:$I,'Leave Records'!$B:$B,$B83,'Leave Records'!$K:$K,"Approved",'Leave Records'!$F:$F,"&gt;="&amp;DATE(Config!$I$7,1,1),'Leave Records'!$F:$F,"&lt;="&amp;EOMONTH(DATE(Config!$I$7,1,1),0)))</f>
        <v/>
      </c>
      <c r="E83" s="9" t="str">
        <f>IF($B83="","",SUMIFS('Leave Records'!$I:$I,'Leave Records'!$B:$B,$B83,'Leave Records'!$K:$K,"Approved",'Leave Records'!$F:$F,"&gt;="&amp;DATE(Config!$I$7,2,1),'Leave Records'!$F:$F,"&lt;="&amp;EOMONTH(DATE(Config!$I$7,2,1),0)))</f>
        <v/>
      </c>
      <c r="F83" s="8" t="str">
        <f>IF($B83="","",SUMIFS('Leave Records'!$I:$I,'Leave Records'!$B:$B,$B83,'Leave Records'!$K:$K,"Approved",'Leave Records'!$F:$F,"&gt;="&amp;DATE(Config!$I$7,3,1),'Leave Records'!$F:$F,"&lt;="&amp;EOMONTH(DATE(Config!$I$7,3,1),0)))</f>
        <v/>
      </c>
      <c r="G83" s="10" t="str">
        <f>IF($B83="","",SUMIFS('Leave Records'!$I:$I,'Leave Records'!$B:$B,$B83,'Leave Records'!$K:$K,"Approved",'Leave Records'!$F:$F,"&gt;="&amp;DATE(Config!$I$7,4,1),'Leave Records'!$F:$F,"&lt;="&amp;EOMONTH(DATE(Config!$I$7,4,1),0)))</f>
        <v/>
      </c>
      <c r="H83" s="10" t="str">
        <f>IF($B83="","",SUMIFS('Leave Records'!$I:$I,'Leave Records'!$B:$B,$B83,'Leave Records'!$K:$K,"Approved",'Leave Records'!$F:$F,"&gt;="&amp;DATE(Config!$I$7,5,1),'Leave Records'!$F:$F,"&lt;="&amp;EOMONTH(DATE(Config!$I$7,5,1),0)))</f>
        <v/>
      </c>
      <c r="I83" s="8" t="str">
        <f>IF($B83="","",SUMIFS('Leave Records'!$I:$I,'Leave Records'!$B:$B,$B83,'Leave Records'!$K:$K,"Approved",'Leave Records'!$F:$F,"&gt;="&amp;DATE(Config!$I$7,6,1),'Leave Records'!$F:$F,"&lt;="&amp;EOMONTH(DATE(Config!$I$7,6,1),0)))</f>
        <v/>
      </c>
      <c r="J83" s="8" t="str">
        <f>IF($B83="","",SUMIFS('Leave Records'!$I:$I,'Leave Records'!$B:$B,$B83,'Leave Records'!$K:$K,"Approved",'Leave Records'!$F:$F,"&gt;="&amp;DATE(Config!$I$7,7,1),'Leave Records'!$F:$F,"&lt;="&amp;EOMONTH(DATE(Config!$I$7,7,1),0)))</f>
        <v/>
      </c>
      <c r="K83" s="9" t="str">
        <f>IF($B83="","",SUMIFS('Leave Records'!$I:$I,'Leave Records'!$B:$B,$B83,'Leave Records'!$K:$K,"Approved",'Leave Records'!$F:$F,"&gt;="&amp;DATE(Config!$I$7,8,1),'Leave Records'!$F:$F,"&lt;="&amp;EOMONTH(DATE(Config!$I$7,8,1),0)))</f>
        <v/>
      </c>
      <c r="L83" s="8" t="str">
        <f>IF($B83="","",SUMIFS('Leave Records'!$I:$I,'Leave Records'!$B:$B,$B83,'Leave Records'!$K:$K,"Approved",'Leave Records'!$F:$F,"&gt;="&amp;DATE(Config!$I$7,9,1),'Leave Records'!$F:$F,"&lt;="&amp;EOMONTH(DATE(Config!$I$7,9,1),0)))</f>
        <v/>
      </c>
      <c r="M83" s="10" t="str">
        <f>IF($B83="","",SUMIFS('Leave Records'!$I:$I,'Leave Records'!$B:$B,$B83,'Leave Records'!$K:$K,"Approved",'Leave Records'!$F:$F,"&gt;="&amp;DATE(Config!$I$7,10,1),'Leave Records'!$F:$F,"&lt;="&amp;EOMONTH(DATE(Config!$I$7,10,1),0)))</f>
        <v/>
      </c>
      <c r="N83" s="10" t="str">
        <f>IF($B83="","",SUMIFS('Leave Records'!$I:$I,'Leave Records'!$B:$B,$B83,'Leave Records'!$K:$K,"Approved",'Leave Records'!$F:$F,"&gt;="&amp;DATE(Config!$I$7,11,1),'Leave Records'!$F:$F,"&lt;="&amp;EOMONTH(DATE(Config!$I$7,11,1),0)))</f>
        <v/>
      </c>
      <c r="O83" s="8" t="str">
        <f>IF($B83="","",SUMIFS('Leave Records'!$I:$I,'Leave Records'!$B:$B,$B83,'Leave Records'!$K:$K,"Approved",'Leave Records'!$F:$F,"&gt;="&amp;DATE(Config!$I$7,12,1),'Leave Records'!$F:$F,"&lt;="&amp;EOMONTH(DATE(Config!$I$7,12,1),0)))</f>
        <v/>
      </c>
      <c r="P83" s="11" t="str">
        <f t="shared" si="3"/>
        <v/>
      </c>
    </row>
    <row r="84" ht="17" customHeight="1" spans="1:16">
      <c r="A84" s="5" t="str">
        <f t="shared" si="2"/>
        <v/>
      </c>
      <c r="B84" s="12" t="str">
        <f>IF(Config!$B$86="","",Config!$B$86)</f>
        <v/>
      </c>
      <c r="C84" s="13" t="str">
        <f>IF(Config!$B$86="","",Config!$C$86)</f>
        <v/>
      </c>
      <c r="D84" s="9" t="str">
        <f>IF($B84="","",SUMIFS('Leave Records'!$I:$I,'Leave Records'!$B:$B,$B84,'Leave Records'!$K:$K,"Approved",'Leave Records'!$F:$F,"&gt;="&amp;DATE(Config!$I$7,1,1),'Leave Records'!$F:$F,"&lt;="&amp;EOMONTH(DATE(Config!$I$7,1,1),0)))</f>
        <v/>
      </c>
      <c r="E84" s="9" t="str">
        <f>IF($B84="","",SUMIFS('Leave Records'!$I:$I,'Leave Records'!$B:$B,$B84,'Leave Records'!$K:$K,"Approved",'Leave Records'!$F:$F,"&gt;="&amp;DATE(Config!$I$7,2,1),'Leave Records'!$F:$F,"&lt;="&amp;EOMONTH(DATE(Config!$I$7,2,1),0)))</f>
        <v/>
      </c>
      <c r="F84" s="9" t="str">
        <f>IF($B84="","",SUMIFS('Leave Records'!$I:$I,'Leave Records'!$B:$B,$B84,'Leave Records'!$K:$K,"Approved",'Leave Records'!$F:$F,"&gt;="&amp;DATE(Config!$I$7,3,1),'Leave Records'!$F:$F,"&lt;="&amp;EOMONTH(DATE(Config!$I$7,3,1),0)))</f>
        <v/>
      </c>
      <c r="G84" s="9" t="str">
        <f>IF($B84="","",SUMIFS('Leave Records'!$I:$I,'Leave Records'!$B:$B,$B84,'Leave Records'!$K:$K,"Approved",'Leave Records'!$F:$F,"&gt;="&amp;DATE(Config!$I$7,4,1),'Leave Records'!$F:$F,"&lt;="&amp;EOMONTH(DATE(Config!$I$7,4,1),0)))</f>
        <v/>
      </c>
      <c r="H84" s="9" t="str">
        <f>IF($B84="","",SUMIFS('Leave Records'!$I:$I,'Leave Records'!$B:$B,$B84,'Leave Records'!$K:$K,"Approved",'Leave Records'!$F:$F,"&gt;="&amp;DATE(Config!$I$7,5,1),'Leave Records'!$F:$F,"&lt;="&amp;EOMONTH(DATE(Config!$I$7,5,1),0)))</f>
        <v/>
      </c>
      <c r="I84" s="9" t="str">
        <f>IF($B84="","",SUMIFS('Leave Records'!$I:$I,'Leave Records'!$B:$B,$B84,'Leave Records'!$K:$K,"Approved",'Leave Records'!$F:$F,"&gt;="&amp;DATE(Config!$I$7,6,1),'Leave Records'!$F:$F,"&lt;="&amp;EOMONTH(DATE(Config!$I$7,6,1),0)))</f>
        <v/>
      </c>
      <c r="J84" s="9" t="str">
        <f>IF($B84="","",SUMIFS('Leave Records'!$I:$I,'Leave Records'!$B:$B,$B84,'Leave Records'!$K:$K,"Approved",'Leave Records'!$F:$F,"&gt;="&amp;DATE(Config!$I$7,7,1),'Leave Records'!$F:$F,"&lt;="&amp;EOMONTH(DATE(Config!$I$7,7,1),0)))</f>
        <v/>
      </c>
      <c r="K84" s="9" t="str">
        <f>IF($B84="","",SUMIFS('Leave Records'!$I:$I,'Leave Records'!$B:$B,$B84,'Leave Records'!$K:$K,"Approved",'Leave Records'!$F:$F,"&gt;="&amp;DATE(Config!$I$7,8,1),'Leave Records'!$F:$F,"&lt;="&amp;EOMONTH(DATE(Config!$I$7,8,1),0)))</f>
        <v/>
      </c>
      <c r="L84" s="9" t="str">
        <f>IF($B84="","",SUMIFS('Leave Records'!$I:$I,'Leave Records'!$B:$B,$B84,'Leave Records'!$K:$K,"Approved",'Leave Records'!$F:$F,"&gt;="&amp;DATE(Config!$I$7,9,1),'Leave Records'!$F:$F,"&lt;="&amp;EOMONTH(DATE(Config!$I$7,9,1),0)))</f>
        <v/>
      </c>
      <c r="M84" s="9" t="str">
        <f>IF($B84="","",SUMIFS('Leave Records'!$I:$I,'Leave Records'!$B:$B,$B84,'Leave Records'!$K:$K,"Approved",'Leave Records'!$F:$F,"&gt;="&amp;DATE(Config!$I$7,10,1),'Leave Records'!$F:$F,"&lt;="&amp;EOMONTH(DATE(Config!$I$7,10,1),0)))</f>
        <v/>
      </c>
      <c r="N84" s="9" t="str">
        <f>IF($B84="","",SUMIFS('Leave Records'!$I:$I,'Leave Records'!$B:$B,$B84,'Leave Records'!$K:$K,"Approved",'Leave Records'!$F:$F,"&gt;="&amp;DATE(Config!$I$7,11,1),'Leave Records'!$F:$F,"&lt;="&amp;EOMONTH(DATE(Config!$I$7,11,1),0)))</f>
        <v/>
      </c>
      <c r="O84" s="9" t="str">
        <f>IF($B84="","",SUMIFS('Leave Records'!$I:$I,'Leave Records'!$B:$B,$B84,'Leave Records'!$K:$K,"Approved",'Leave Records'!$F:$F,"&gt;="&amp;DATE(Config!$I$7,12,1),'Leave Records'!$F:$F,"&lt;="&amp;EOMONTH(DATE(Config!$I$7,12,1),0)))</f>
        <v/>
      </c>
      <c r="P84" s="14" t="str">
        <f t="shared" si="3"/>
        <v/>
      </c>
    </row>
    <row r="85" ht="17" customHeight="1" spans="1:16">
      <c r="A85" s="5" t="str">
        <f t="shared" si="2"/>
        <v/>
      </c>
      <c r="B85" s="6" t="str">
        <f>IF(Config!$B$87="","",Config!$B$87)</f>
        <v/>
      </c>
      <c r="C85" s="7" t="str">
        <f>IF(Config!$B$87="","",Config!$C$87)</f>
        <v/>
      </c>
      <c r="D85" s="8" t="str">
        <f>IF($B85="","",SUMIFS('Leave Records'!$I:$I,'Leave Records'!$B:$B,$B85,'Leave Records'!$K:$K,"Approved",'Leave Records'!$F:$F,"&gt;="&amp;DATE(Config!$I$7,1,1),'Leave Records'!$F:$F,"&lt;="&amp;EOMONTH(DATE(Config!$I$7,1,1),0)))</f>
        <v/>
      </c>
      <c r="E85" s="9" t="str">
        <f>IF($B85="","",SUMIFS('Leave Records'!$I:$I,'Leave Records'!$B:$B,$B85,'Leave Records'!$K:$K,"Approved",'Leave Records'!$F:$F,"&gt;="&amp;DATE(Config!$I$7,2,1),'Leave Records'!$F:$F,"&lt;="&amp;EOMONTH(DATE(Config!$I$7,2,1),0)))</f>
        <v/>
      </c>
      <c r="F85" s="8" t="str">
        <f>IF($B85="","",SUMIFS('Leave Records'!$I:$I,'Leave Records'!$B:$B,$B85,'Leave Records'!$K:$K,"Approved",'Leave Records'!$F:$F,"&gt;="&amp;DATE(Config!$I$7,3,1),'Leave Records'!$F:$F,"&lt;="&amp;EOMONTH(DATE(Config!$I$7,3,1),0)))</f>
        <v/>
      </c>
      <c r="G85" s="10" t="str">
        <f>IF($B85="","",SUMIFS('Leave Records'!$I:$I,'Leave Records'!$B:$B,$B85,'Leave Records'!$K:$K,"Approved",'Leave Records'!$F:$F,"&gt;="&amp;DATE(Config!$I$7,4,1),'Leave Records'!$F:$F,"&lt;="&amp;EOMONTH(DATE(Config!$I$7,4,1),0)))</f>
        <v/>
      </c>
      <c r="H85" s="10" t="str">
        <f>IF($B85="","",SUMIFS('Leave Records'!$I:$I,'Leave Records'!$B:$B,$B85,'Leave Records'!$K:$K,"Approved",'Leave Records'!$F:$F,"&gt;="&amp;DATE(Config!$I$7,5,1),'Leave Records'!$F:$F,"&lt;="&amp;EOMONTH(DATE(Config!$I$7,5,1),0)))</f>
        <v/>
      </c>
      <c r="I85" s="8" t="str">
        <f>IF($B85="","",SUMIFS('Leave Records'!$I:$I,'Leave Records'!$B:$B,$B85,'Leave Records'!$K:$K,"Approved",'Leave Records'!$F:$F,"&gt;="&amp;DATE(Config!$I$7,6,1),'Leave Records'!$F:$F,"&lt;="&amp;EOMONTH(DATE(Config!$I$7,6,1),0)))</f>
        <v/>
      </c>
      <c r="J85" s="8" t="str">
        <f>IF($B85="","",SUMIFS('Leave Records'!$I:$I,'Leave Records'!$B:$B,$B85,'Leave Records'!$K:$K,"Approved",'Leave Records'!$F:$F,"&gt;="&amp;DATE(Config!$I$7,7,1),'Leave Records'!$F:$F,"&lt;="&amp;EOMONTH(DATE(Config!$I$7,7,1),0)))</f>
        <v/>
      </c>
      <c r="K85" s="9" t="str">
        <f>IF($B85="","",SUMIFS('Leave Records'!$I:$I,'Leave Records'!$B:$B,$B85,'Leave Records'!$K:$K,"Approved",'Leave Records'!$F:$F,"&gt;="&amp;DATE(Config!$I$7,8,1),'Leave Records'!$F:$F,"&lt;="&amp;EOMONTH(DATE(Config!$I$7,8,1),0)))</f>
        <v/>
      </c>
      <c r="L85" s="8" t="str">
        <f>IF($B85="","",SUMIFS('Leave Records'!$I:$I,'Leave Records'!$B:$B,$B85,'Leave Records'!$K:$K,"Approved",'Leave Records'!$F:$F,"&gt;="&amp;DATE(Config!$I$7,9,1),'Leave Records'!$F:$F,"&lt;="&amp;EOMONTH(DATE(Config!$I$7,9,1),0)))</f>
        <v/>
      </c>
      <c r="M85" s="10" t="str">
        <f>IF($B85="","",SUMIFS('Leave Records'!$I:$I,'Leave Records'!$B:$B,$B85,'Leave Records'!$K:$K,"Approved",'Leave Records'!$F:$F,"&gt;="&amp;DATE(Config!$I$7,10,1),'Leave Records'!$F:$F,"&lt;="&amp;EOMONTH(DATE(Config!$I$7,10,1),0)))</f>
        <v/>
      </c>
      <c r="N85" s="10" t="str">
        <f>IF($B85="","",SUMIFS('Leave Records'!$I:$I,'Leave Records'!$B:$B,$B85,'Leave Records'!$K:$K,"Approved",'Leave Records'!$F:$F,"&gt;="&amp;DATE(Config!$I$7,11,1),'Leave Records'!$F:$F,"&lt;="&amp;EOMONTH(DATE(Config!$I$7,11,1),0)))</f>
        <v/>
      </c>
      <c r="O85" s="8" t="str">
        <f>IF($B85="","",SUMIFS('Leave Records'!$I:$I,'Leave Records'!$B:$B,$B85,'Leave Records'!$K:$K,"Approved",'Leave Records'!$F:$F,"&gt;="&amp;DATE(Config!$I$7,12,1),'Leave Records'!$F:$F,"&lt;="&amp;EOMONTH(DATE(Config!$I$7,12,1),0)))</f>
        <v/>
      </c>
      <c r="P85" s="11" t="str">
        <f t="shared" si="3"/>
        <v/>
      </c>
    </row>
    <row r="86" ht="17" customHeight="1" spans="1:16">
      <c r="A86" s="5" t="str">
        <f t="shared" si="2"/>
        <v/>
      </c>
      <c r="B86" s="12" t="str">
        <f>IF(Config!$B$88="","",Config!$B$88)</f>
        <v/>
      </c>
      <c r="C86" s="13" t="str">
        <f>IF(Config!$B$88="","",Config!$C$88)</f>
        <v/>
      </c>
      <c r="D86" s="9" t="str">
        <f>IF($B86="","",SUMIFS('Leave Records'!$I:$I,'Leave Records'!$B:$B,$B86,'Leave Records'!$K:$K,"Approved",'Leave Records'!$F:$F,"&gt;="&amp;DATE(Config!$I$7,1,1),'Leave Records'!$F:$F,"&lt;="&amp;EOMONTH(DATE(Config!$I$7,1,1),0)))</f>
        <v/>
      </c>
      <c r="E86" s="9" t="str">
        <f>IF($B86="","",SUMIFS('Leave Records'!$I:$I,'Leave Records'!$B:$B,$B86,'Leave Records'!$K:$K,"Approved",'Leave Records'!$F:$F,"&gt;="&amp;DATE(Config!$I$7,2,1),'Leave Records'!$F:$F,"&lt;="&amp;EOMONTH(DATE(Config!$I$7,2,1),0)))</f>
        <v/>
      </c>
      <c r="F86" s="9" t="str">
        <f>IF($B86="","",SUMIFS('Leave Records'!$I:$I,'Leave Records'!$B:$B,$B86,'Leave Records'!$K:$K,"Approved",'Leave Records'!$F:$F,"&gt;="&amp;DATE(Config!$I$7,3,1),'Leave Records'!$F:$F,"&lt;="&amp;EOMONTH(DATE(Config!$I$7,3,1),0)))</f>
        <v/>
      </c>
      <c r="G86" s="9" t="str">
        <f>IF($B86="","",SUMIFS('Leave Records'!$I:$I,'Leave Records'!$B:$B,$B86,'Leave Records'!$K:$K,"Approved",'Leave Records'!$F:$F,"&gt;="&amp;DATE(Config!$I$7,4,1),'Leave Records'!$F:$F,"&lt;="&amp;EOMONTH(DATE(Config!$I$7,4,1),0)))</f>
        <v/>
      </c>
      <c r="H86" s="9" t="str">
        <f>IF($B86="","",SUMIFS('Leave Records'!$I:$I,'Leave Records'!$B:$B,$B86,'Leave Records'!$K:$K,"Approved",'Leave Records'!$F:$F,"&gt;="&amp;DATE(Config!$I$7,5,1),'Leave Records'!$F:$F,"&lt;="&amp;EOMONTH(DATE(Config!$I$7,5,1),0)))</f>
        <v/>
      </c>
      <c r="I86" s="9" t="str">
        <f>IF($B86="","",SUMIFS('Leave Records'!$I:$I,'Leave Records'!$B:$B,$B86,'Leave Records'!$K:$K,"Approved",'Leave Records'!$F:$F,"&gt;="&amp;DATE(Config!$I$7,6,1),'Leave Records'!$F:$F,"&lt;="&amp;EOMONTH(DATE(Config!$I$7,6,1),0)))</f>
        <v/>
      </c>
      <c r="J86" s="9" t="str">
        <f>IF($B86="","",SUMIFS('Leave Records'!$I:$I,'Leave Records'!$B:$B,$B86,'Leave Records'!$K:$K,"Approved",'Leave Records'!$F:$F,"&gt;="&amp;DATE(Config!$I$7,7,1),'Leave Records'!$F:$F,"&lt;="&amp;EOMONTH(DATE(Config!$I$7,7,1),0)))</f>
        <v/>
      </c>
      <c r="K86" s="9" t="str">
        <f>IF($B86="","",SUMIFS('Leave Records'!$I:$I,'Leave Records'!$B:$B,$B86,'Leave Records'!$K:$K,"Approved",'Leave Records'!$F:$F,"&gt;="&amp;DATE(Config!$I$7,8,1),'Leave Records'!$F:$F,"&lt;="&amp;EOMONTH(DATE(Config!$I$7,8,1),0)))</f>
        <v/>
      </c>
      <c r="L86" s="9" t="str">
        <f>IF($B86="","",SUMIFS('Leave Records'!$I:$I,'Leave Records'!$B:$B,$B86,'Leave Records'!$K:$K,"Approved",'Leave Records'!$F:$F,"&gt;="&amp;DATE(Config!$I$7,9,1),'Leave Records'!$F:$F,"&lt;="&amp;EOMONTH(DATE(Config!$I$7,9,1),0)))</f>
        <v/>
      </c>
      <c r="M86" s="9" t="str">
        <f>IF($B86="","",SUMIFS('Leave Records'!$I:$I,'Leave Records'!$B:$B,$B86,'Leave Records'!$K:$K,"Approved",'Leave Records'!$F:$F,"&gt;="&amp;DATE(Config!$I$7,10,1),'Leave Records'!$F:$F,"&lt;="&amp;EOMONTH(DATE(Config!$I$7,10,1),0)))</f>
        <v/>
      </c>
      <c r="N86" s="9" t="str">
        <f>IF($B86="","",SUMIFS('Leave Records'!$I:$I,'Leave Records'!$B:$B,$B86,'Leave Records'!$K:$K,"Approved",'Leave Records'!$F:$F,"&gt;="&amp;DATE(Config!$I$7,11,1),'Leave Records'!$F:$F,"&lt;="&amp;EOMONTH(DATE(Config!$I$7,11,1),0)))</f>
        <v/>
      </c>
      <c r="O86" s="9" t="str">
        <f>IF($B86="","",SUMIFS('Leave Records'!$I:$I,'Leave Records'!$B:$B,$B86,'Leave Records'!$K:$K,"Approved",'Leave Records'!$F:$F,"&gt;="&amp;DATE(Config!$I$7,12,1),'Leave Records'!$F:$F,"&lt;="&amp;EOMONTH(DATE(Config!$I$7,12,1),0)))</f>
        <v/>
      </c>
      <c r="P86" s="14" t="str">
        <f t="shared" si="3"/>
        <v/>
      </c>
    </row>
    <row r="87" ht="17" customHeight="1" spans="1:16">
      <c r="A87" s="5" t="str">
        <f t="shared" si="2"/>
        <v/>
      </c>
      <c r="B87" s="6" t="str">
        <f>IF(Config!$B$89="","",Config!$B$89)</f>
        <v/>
      </c>
      <c r="C87" s="7" t="str">
        <f>IF(Config!$B$89="","",Config!$C$89)</f>
        <v/>
      </c>
      <c r="D87" s="8" t="str">
        <f>IF($B87="","",SUMIFS('Leave Records'!$I:$I,'Leave Records'!$B:$B,$B87,'Leave Records'!$K:$K,"Approved",'Leave Records'!$F:$F,"&gt;="&amp;DATE(Config!$I$7,1,1),'Leave Records'!$F:$F,"&lt;="&amp;EOMONTH(DATE(Config!$I$7,1,1),0)))</f>
        <v/>
      </c>
      <c r="E87" s="9" t="str">
        <f>IF($B87="","",SUMIFS('Leave Records'!$I:$I,'Leave Records'!$B:$B,$B87,'Leave Records'!$K:$K,"Approved",'Leave Records'!$F:$F,"&gt;="&amp;DATE(Config!$I$7,2,1),'Leave Records'!$F:$F,"&lt;="&amp;EOMONTH(DATE(Config!$I$7,2,1),0)))</f>
        <v/>
      </c>
      <c r="F87" s="8" t="str">
        <f>IF($B87="","",SUMIFS('Leave Records'!$I:$I,'Leave Records'!$B:$B,$B87,'Leave Records'!$K:$K,"Approved",'Leave Records'!$F:$F,"&gt;="&amp;DATE(Config!$I$7,3,1),'Leave Records'!$F:$F,"&lt;="&amp;EOMONTH(DATE(Config!$I$7,3,1),0)))</f>
        <v/>
      </c>
      <c r="G87" s="10" t="str">
        <f>IF($B87="","",SUMIFS('Leave Records'!$I:$I,'Leave Records'!$B:$B,$B87,'Leave Records'!$K:$K,"Approved",'Leave Records'!$F:$F,"&gt;="&amp;DATE(Config!$I$7,4,1),'Leave Records'!$F:$F,"&lt;="&amp;EOMONTH(DATE(Config!$I$7,4,1),0)))</f>
        <v/>
      </c>
      <c r="H87" s="10" t="str">
        <f>IF($B87="","",SUMIFS('Leave Records'!$I:$I,'Leave Records'!$B:$B,$B87,'Leave Records'!$K:$K,"Approved",'Leave Records'!$F:$F,"&gt;="&amp;DATE(Config!$I$7,5,1),'Leave Records'!$F:$F,"&lt;="&amp;EOMONTH(DATE(Config!$I$7,5,1),0)))</f>
        <v/>
      </c>
      <c r="I87" s="8" t="str">
        <f>IF($B87="","",SUMIFS('Leave Records'!$I:$I,'Leave Records'!$B:$B,$B87,'Leave Records'!$K:$K,"Approved",'Leave Records'!$F:$F,"&gt;="&amp;DATE(Config!$I$7,6,1),'Leave Records'!$F:$F,"&lt;="&amp;EOMONTH(DATE(Config!$I$7,6,1),0)))</f>
        <v/>
      </c>
      <c r="J87" s="8" t="str">
        <f>IF($B87="","",SUMIFS('Leave Records'!$I:$I,'Leave Records'!$B:$B,$B87,'Leave Records'!$K:$K,"Approved",'Leave Records'!$F:$F,"&gt;="&amp;DATE(Config!$I$7,7,1),'Leave Records'!$F:$F,"&lt;="&amp;EOMONTH(DATE(Config!$I$7,7,1),0)))</f>
        <v/>
      </c>
      <c r="K87" s="9" t="str">
        <f>IF($B87="","",SUMIFS('Leave Records'!$I:$I,'Leave Records'!$B:$B,$B87,'Leave Records'!$K:$K,"Approved",'Leave Records'!$F:$F,"&gt;="&amp;DATE(Config!$I$7,8,1),'Leave Records'!$F:$F,"&lt;="&amp;EOMONTH(DATE(Config!$I$7,8,1),0)))</f>
        <v/>
      </c>
      <c r="L87" s="8" t="str">
        <f>IF($B87="","",SUMIFS('Leave Records'!$I:$I,'Leave Records'!$B:$B,$B87,'Leave Records'!$K:$K,"Approved",'Leave Records'!$F:$F,"&gt;="&amp;DATE(Config!$I$7,9,1),'Leave Records'!$F:$F,"&lt;="&amp;EOMONTH(DATE(Config!$I$7,9,1),0)))</f>
        <v/>
      </c>
      <c r="M87" s="10" t="str">
        <f>IF($B87="","",SUMIFS('Leave Records'!$I:$I,'Leave Records'!$B:$B,$B87,'Leave Records'!$K:$K,"Approved",'Leave Records'!$F:$F,"&gt;="&amp;DATE(Config!$I$7,10,1),'Leave Records'!$F:$F,"&lt;="&amp;EOMONTH(DATE(Config!$I$7,10,1),0)))</f>
        <v/>
      </c>
      <c r="N87" s="10" t="str">
        <f>IF($B87="","",SUMIFS('Leave Records'!$I:$I,'Leave Records'!$B:$B,$B87,'Leave Records'!$K:$K,"Approved",'Leave Records'!$F:$F,"&gt;="&amp;DATE(Config!$I$7,11,1),'Leave Records'!$F:$F,"&lt;="&amp;EOMONTH(DATE(Config!$I$7,11,1),0)))</f>
        <v/>
      </c>
      <c r="O87" s="8" t="str">
        <f>IF($B87="","",SUMIFS('Leave Records'!$I:$I,'Leave Records'!$B:$B,$B87,'Leave Records'!$K:$K,"Approved",'Leave Records'!$F:$F,"&gt;="&amp;DATE(Config!$I$7,12,1),'Leave Records'!$F:$F,"&lt;="&amp;EOMONTH(DATE(Config!$I$7,12,1),0)))</f>
        <v/>
      </c>
      <c r="P87" s="11" t="str">
        <f t="shared" si="3"/>
        <v/>
      </c>
    </row>
    <row r="88" ht="17" customHeight="1" spans="1:16">
      <c r="A88" s="5" t="str">
        <f t="shared" si="2"/>
        <v/>
      </c>
      <c r="B88" s="12" t="str">
        <f>IF(Config!$B$90="","",Config!$B$90)</f>
        <v/>
      </c>
      <c r="C88" s="13" t="str">
        <f>IF(Config!$B$90="","",Config!$C$90)</f>
        <v/>
      </c>
      <c r="D88" s="9" t="str">
        <f>IF($B88="","",SUMIFS('Leave Records'!$I:$I,'Leave Records'!$B:$B,$B88,'Leave Records'!$K:$K,"Approved",'Leave Records'!$F:$F,"&gt;="&amp;DATE(Config!$I$7,1,1),'Leave Records'!$F:$F,"&lt;="&amp;EOMONTH(DATE(Config!$I$7,1,1),0)))</f>
        <v/>
      </c>
      <c r="E88" s="9" t="str">
        <f>IF($B88="","",SUMIFS('Leave Records'!$I:$I,'Leave Records'!$B:$B,$B88,'Leave Records'!$K:$K,"Approved",'Leave Records'!$F:$F,"&gt;="&amp;DATE(Config!$I$7,2,1),'Leave Records'!$F:$F,"&lt;="&amp;EOMONTH(DATE(Config!$I$7,2,1),0)))</f>
        <v/>
      </c>
      <c r="F88" s="9" t="str">
        <f>IF($B88="","",SUMIFS('Leave Records'!$I:$I,'Leave Records'!$B:$B,$B88,'Leave Records'!$K:$K,"Approved",'Leave Records'!$F:$F,"&gt;="&amp;DATE(Config!$I$7,3,1),'Leave Records'!$F:$F,"&lt;="&amp;EOMONTH(DATE(Config!$I$7,3,1),0)))</f>
        <v/>
      </c>
      <c r="G88" s="9" t="str">
        <f>IF($B88="","",SUMIFS('Leave Records'!$I:$I,'Leave Records'!$B:$B,$B88,'Leave Records'!$K:$K,"Approved",'Leave Records'!$F:$F,"&gt;="&amp;DATE(Config!$I$7,4,1),'Leave Records'!$F:$F,"&lt;="&amp;EOMONTH(DATE(Config!$I$7,4,1),0)))</f>
        <v/>
      </c>
      <c r="H88" s="9" t="str">
        <f>IF($B88="","",SUMIFS('Leave Records'!$I:$I,'Leave Records'!$B:$B,$B88,'Leave Records'!$K:$K,"Approved",'Leave Records'!$F:$F,"&gt;="&amp;DATE(Config!$I$7,5,1),'Leave Records'!$F:$F,"&lt;="&amp;EOMONTH(DATE(Config!$I$7,5,1),0)))</f>
        <v/>
      </c>
      <c r="I88" s="9" t="str">
        <f>IF($B88="","",SUMIFS('Leave Records'!$I:$I,'Leave Records'!$B:$B,$B88,'Leave Records'!$K:$K,"Approved",'Leave Records'!$F:$F,"&gt;="&amp;DATE(Config!$I$7,6,1),'Leave Records'!$F:$F,"&lt;="&amp;EOMONTH(DATE(Config!$I$7,6,1),0)))</f>
        <v/>
      </c>
      <c r="J88" s="9" t="str">
        <f>IF($B88="","",SUMIFS('Leave Records'!$I:$I,'Leave Records'!$B:$B,$B88,'Leave Records'!$K:$K,"Approved",'Leave Records'!$F:$F,"&gt;="&amp;DATE(Config!$I$7,7,1),'Leave Records'!$F:$F,"&lt;="&amp;EOMONTH(DATE(Config!$I$7,7,1),0)))</f>
        <v/>
      </c>
      <c r="K88" s="9" t="str">
        <f>IF($B88="","",SUMIFS('Leave Records'!$I:$I,'Leave Records'!$B:$B,$B88,'Leave Records'!$K:$K,"Approved",'Leave Records'!$F:$F,"&gt;="&amp;DATE(Config!$I$7,8,1),'Leave Records'!$F:$F,"&lt;="&amp;EOMONTH(DATE(Config!$I$7,8,1),0)))</f>
        <v/>
      </c>
      <c r="L88" s="9" t="str">
        <f>IF($B88="","",SUMIFS('Leave Records'!$I:$I,'Leave Records'!$B:$B,$B88,'Leave Records'!$K:$K,"Approved",'Leave Records'!$F:$F,"&gt;="&amp;DATE(Config!$I$7,9,1),'Leave Records'!$F:$F,"&lt;="&amp;EOMONTH(DATE(Config!$I$7,9,1),0)))</f>
        <v/>
      </c>
      <c r="M88" s="9" t="str">
        <f>IF($B88="","",SUMIFS('Leave Records'!$I:$I,'Leave Records'!$B:$B,$B88,'Leave Records'!$K:$K,"Approved",'Leave Records'!$F:$F,"&gt;="&amp;DATE(Config!$I$7,10,1),'Leave Records'!$F:$F,"&lt;="&amp;EOMONTH(DATE(Config!$I$7,10,1),0)))</f>
        <v/>
      </c>
      <c r="N88" s="9" t="str">
        <f>IF($B88="","",SUMIFS('Leave Records'!$I:$I,'Leave Records'!$B:$B,$B88,'Leave Records'!$K:$K,"Approved",'Leave Records'!$F:$F,"&gt;="&amp;DATE(Config!$I$7,11,1),'Leave Records'!$F:$F,"&lt;="&amp;EOMONTH(DATE(Config!$I$7,11,1),0)))</f>
        <v/>
      </c>
      <c r="O88" s="9" t="str">
        <f>IF($B88="","",SUMIFS('Leave Records'!$I:$I,'Leave Records'!$B:$B,$B88,'Leave Records'!$K:$K,"Approved",'Leave Records'!$F:$F,"&gt;="&amp;DATE(Config!$I$7,12,1),'Leave Records'!$F:$F,"&lt;="&amp;EOMONTH(DATE(Config!$I$7,12,1),0)))</f>
        <v/>
      </c>
      <c r="P88" s="14" t="str">
        <f t="shared" si="3"/>
        <v/>
      </c>
    </row>
    <row r="89" ht="17" customHeight="1" spans="1:16">
      <c r="A89" s="5" t="str">
        <f t="shared" si="2"/>
        <v/>
      </c>
      <c r="B89" s="6" t="str">
        <f>IF(Config!$B$91="","",Config!$B$91)</f>
        <v/>
      </c>
      <c r="C89" s="7" t="str">
        <f>IF(Config!$B$91="","",Config!$C$91)</f>
        <v/>
      </c>
      <c r="D89" s="8" t="str">
        <f>IF($B89="","",SUMIFS('Leave Records'!$I:$I,'Leave Records'!$B:$B,$B89,'Leave Records'!$K:$K,"Approved",'Leave Records'!$F:$F,"&gt;="&amp;DATE(Config!$I$7,1,1),'Leave Records'!$F:$F,"&lt;="&amp;EOMONTH(DATE(Config!$I$7,1,1),0)))</f>
        <v/>
      </c>
      <c r="E89" s="9" t="str">
        <f>IF($B89="","",SUMIFS('Leave Records'!$I:$I,'Leave Records'!$B:$B,$B89,'Leave Records'!$K:$K,"Approved",'Leave Records'!$F:$F,"&gt;="&amp;DATE(Config!$I$7,2,1),'Leave Records'!$F:$F,"&lt;="&amp;EOMONTH(DATE(Config!$I$7,2,1),0)))</f>
        <v/>
      </c>
      <c r="F89" s="8" t="str">
        <f>IF($B89="","",SUMIFS('Leave Records'!$I:$I,'Leave Records'!$B:$B,$B89,'Leave Records'!$K:$K,"Approved",'Leave Records'!$F:$F,"&gt;="&amp;DATE(Config!$I$7,3,1),'Leave Records'!$F:$F,"&lt;="&amp;EOMONTH(DATE(Config!$I$7,3,1),0)))</f>
        <v/>
      </c>
      <c r="G89" s="10" t="str">
        <f>IF($B89="","",SUMIFS('Leave Records'!$I:$I,'Leave Records'!$B:$B,$B89,'Leave Records'!$K:$K,"Approved",'Leave Records'!$F:$F,"&gt;="&amp;DATE(Config!$I$7,4,1),'Leave Records'!$F:$F,"&lt;="&amp;EOMONTH(DATE(Config!$I$7,4,1),0)))</f>
        <v/>
      </c>
      <c r="H89" s="10" t="str">
        <f>IF($B89="","",SUMIFS('Leave Records'!$I:$I,'Leave Records'!$B:$B,$B89,'Leave Records'!$K:$K,"Approved",'Leave Records'!$F:$F,"&gt;="&amp;DATE(Config!$I$7,5,1),'Leave Records'!$F:$F,"&lt;="&amp;EOMONTH(DATE(Config!$I$7,5,1),0)))</f>
        <v/>
      </c>
      <c r="I89" s="8" t="str">
        <f>IF($B89="","",SUMIFS('Leave Records'!$I:$I,'Leave Records'!$B:$B,$B89,'Leave Records'!$K:$K,"Approved",'Leave Records'!$F:$F,"&gt;="&amp;DATE(Config!$I$7,6,1),'Leave Records'!$F:$F,"&lt;="&amp;EOMONTH(DATE(Config!$I$7,6,1),0)))</f>
        <v/>
      </c>
      <c r="J89" s="8" t="str">
        <f>IF($B89="","",SUMIFS('Leave Records'!$I:$I,'Leave Records'!$B:$B,$B89,'Leave Records'!$K:$K,"Approved",'Leave Records'!$F:$F,"&gt;="&amp;DATE(Config!$I$7,7,1),'Leave Records'!$F:$F,"&lt;="&amp;EOMONTH(DATE(Config!$I$7,7,1),0)))</f>
        <v/>
      </c>
      <c r="K89" s="9" t="str">
        <f>IF($B89="","",SUMIFS('Leave Records'!$I:$I,'Leave Records'!$B:$B,$B89,'Leave Records'!$K:$K,"Approved",'Leave Records'!$F:$F,"&gt;="&amp;DATE(Config!$I$7,8,1),'Leave Records'!$F:$F,"&lt;="&amp;EOMONTH(DATE(Config!$I$7,8,1),0)))</f>
        <v/>
      </c>
      <c r="L89" s="8" t="str">
        <f>IF($B89="","",SUMIFS('Leave Records'!$I:$I,'Leave Records'!$B:$B,$B89,'Leave Records'!$K:$K,"Approved",'Leave Records'!$F:$F,"&gt;="&amp;DATE(Config!$I$7,9,1),'Leave Records'!$F:$F,"&lt;="&amp;EOMONTH(DATE(Config!$I$7,9,1),0)))</f>
        <v/>
      </c>
      <c r="M89" s="10" t="str">
        <f>IF($B89="","",SUMIFS('Leave Records'!$I:$I,'Leave Records'!$B:$B,$B89,'Leave Records'!$K:$K,"Approved",'Leave Records'!$F:$F,"&gt;="&amp;DATE(Config!$I$7,10,1),'Leave Records'!$F:$F,"&lt;="&amp;EOMONTH(DATE(Config!$I$7,10,1),0)))</f>
        <v/>
      </c>
      <c r="N89" s="10" t="str">
        <f>IF($B89="","",SUMIFS('Leave Records'!$I:$I,'Leave Records'!$B:$B,$B89,'Leave Records'!$K:$K,"Approved",'Leave Records'!$F:$F,"&gt;="&amp;DATE(Config!$I$7,11,1),'Leave Records'!$F:$F,"&lt;="&amp;EOMONTH(DATE(Config!$I$7,11,1),0)))</f>
        <v/>
      </c>
      <c r="O89" s="8" t="str">
        <f>IF($B89="","",SUMIFS('Leave Records'!$I:$I,'Leave Records'!$B:$B,$B89,'Leave Records'!$K:$K,"Approved",'Leave Records'!$F:$F,"&gt;="&amp;DATE(Config!$I$7,12,1),'Leave Records'!$F:$F,"&lt;="&amp;EOMONTH(DATE(Config!$I$7,12,1),0)))</f>
        <v/>
      </c>
      <c r="P89" s="11" t="str">
        <f t="shared" si="3"/>
        <v/>
      </c>
    </row>
    <row r="90" ht="17" customHeight="1" spans="1:16">
      <c r="A90" s="5" t="str">
        <f t="shared" si="2"/>
        <v/>
      </c>
      <c r="B90" s="12" t="str">
        <f>IF(Config!$B$92="","",Config!$B$92)</f>
        <v/>
      </c>
      <c r="C90" s="13" t="str">
        <f>IF(Config!$B$92="","",Config!$C$92)</f>
        <v/>
      </c>
      <c r="D90" s="9" t="str">
        <f>IF($B90="","",SUMIFS('Leave Records'!$I:$I,'Leave Records'!$B:$B,$B90,'Leave Records'!$K:$K,"Approved",'Leave Records'!$F:$F,"&gt;="&amp;DATE(Config!$I$7,1,1),'Leave Records'!$F:$F,"&lt;="&amp;EOMONTH(DATE(Config!$I$7,1,1),0)))</f>
        <v/>
      </c>
      <c r="E90" s="9" t="str">
        <f>IF($B90="","",SUMIFS('Leave Records'!$I:$I,'Leave Records'!$B:$B,$B90,'Leave Records'!$K:$K,"Approved",'Leave Records'!$F:$F,"&gt;="&amp;DATE(Config!$I$7,2,1),'Leave Records'!$F:$F,"&lt;="&amp;EOMONTH(DATE(Config!$I$7,2,1),0)))</f>
        <v/>
      </c>
      <c r="F90" s="9" t="str">
        <f>IF($B90="","",SUMIFS('Leave Records'!$I:$I,'Leave Records'!$B:$B,$B90,'Leave Records'!$K:$K,"Approved",'Leave Records'!$F:$F,"&gt;="&amp;DATE(Config!$I$7,3,1),'Leave Records'!$F:$F,"&lt;="&amp;EOMONTH(DATE(Config!$I$7,3,1),0)))</f>
        <v/>
      </c>
      <c r="G90" s="9" t="str">
        <f>IF($B90="","",SUMIFS('Leave Records'!$I:$I,'Leave Records'!$B:$B,$B90,'Leave Records'!$K:$K,"Approved",'Leave Records'!$F:$F,"&gt;="&amp;DATE(Config!$I$7,4,1),'Leave Records'!$F:$F,"&lt;="&amp;EOMONTH(DATE(Config!$I$7,4,1),0)))</f>
        <v/>
      </c>
      <c r="H90" s="9" t="str">
        <f>IF($B90="","",SUMIFS('Leave Records'!$I:$I,'Leave Records'!$B:$B,$B90,'Leave Records'!$K:$K,"Approved",'Leave Records'!$F:$F,"&gt;="&amp;DATE(Config!$I$7,5,1),'Leave Records'!$F:$F,"&lt;="&amp;EOMONTH(DATE(Config!$I$7,5,1),0)))</f>
        <v/>
      </c>
      <c r="I90" s="9" t="str">
        <f>IF($B90="","",SUMIFS('Leave Records'!$I:$I,'Leave Records'!$B:$B,$B90,'Leave Records'!$K:$K,"Approved",'Leave Records'!$F:$F,"&gt;="&amp;DATE(Config!$I$7,6,1),'Leave Records'!$F:$F,"&lt;="&amp;EOMONTH(DATE(Config!$I$7,6,1),0)))</f>
        <v/>
      </c>
      <c r="J90" s="9" t="str">
        <f>IF($B90="","",SUMIFS('Leave Records'!$I:$I,'Leave Records'!$B:$B,$B90,'Leave Records'!$K:$K,"Approved",'Leave Records'!$F:$F,"&gt;="&amp;DATE(Config!$I$7,7,1),'Leave Records'!$F:$F,"&lt;="&amp;EOMONTH(DATE(Config!$I$7,7,1),0)))</f>
        <v/>
      </c>
      <c r="K90" s="9" t="str">
        <f>IF($B90="","",SUMIFS('Leave Records'!$I:$I,'Leave Records'!$B:$B,$B90,'Leave Records'!$K:$K,"Approved",'Leave Records'!$F:$F,"&gt;="&amp;DATE(Config!$I$7,8,1),'Leave Records'!$F:$F,"&lt;="&amp;EOMONTH(DATE(Config!$I$7,8,1),0)))</f>
        <v/>
      </c>
      <c r="L90" s="9" t="str">
        <f>IF($B90="","",SUMIFS('Leave Records'!$I:$I,'Leave Records'!$B:$B,$B90,'Leave Records'!$K:$K,"Approved",'Leave Records'!$F:$F,"&gt;="&amp;DATE(Config!$I$7,9,1),'Leave Records'!$F:$F,"&lt;="&amp;EOMONTH(DATE(Config!$I$7,9,1),0)))</f>
        <v/>
      </c>
      <c r="M90" s="9" t="str">
        <f>IF($B90="","",SUMIFS('Leave Records'!$I:$I,'Leave Records'!$B:$B,$B90,'Leave Records'!$K:$K,"Approved",'Leave Records'!$F:$F,"&gt;="&amp;DATE(Config!$I$7,10,1),'Leave Records'!$F:$F,"&lt;="&amp;EOMONTH(DATE(Config!$I$7,10,1),0)))</f>
        <v/>
      </c>
      <c r="N90" s="9" t="str">
        <f>IF($B90="","",SUMIFS('Leave Records'!$I:$I,'Leave Records'!$B:$B,$B90,'Leave Records'!$K:$K,"Approved",'Leave Records'!$F:$F,"&gt;="&amp;DATE(Config!$I$7,11,1),'Leave Records'!$F:$F,"&lt;="&amp;EOMONTH(DATE(Config!$I$7,11,1),0)))</f>
        <v/>
      </c>
      <c r="O90" s="9" t="str">
        <f>IF($B90="","",SUMIFS('Leave Records'!$I:$I,'Leave Records'!$B:$B,$B90,'Leave Records'!$K:$K,"Approved",'Leave Records'!$F:$F,"&gt;="&amp;DATE(Config!$I$7,12,1),'Leave Records'!$F:$F,"&lt;="&amp;EOMONTH(DATE(Config!$I$7,12,1),0)))</f>
        <v/>
      </c>
      <c r="P90" s="14" t="str">
        <f t="shared" si="3"/>
        <v/>
      </c>
    </row>
    <row r="91" ht="17" customHeight="1" spans="1:16">
      <c r="A91" s="5" t="str">
        <f t="shared" si="2"/>
        <v/>
      </c>
      <c r="B91" s="6" t="str">
        <f>IF(Config!$B$93="","",Config!$B$93)</f>
        <v/>
      </c>
      <c r="C91" s="7" t="str">
        <f>IF(Config!$B$93="","",Config!$C$93)</f>
        <v/>
      </c>
      <c r="D91" s="8" t="str">
        <f>IF($B91="","",SUMIFS('Leave Records'!$I:$I,'Leave Records'!$B:$B,$B91,'Leave Records'!$K:$K,"Approved",'Leave Records'!$F:$F,"&gt;="&amp;DATE(Config!$I$7,1,1),'Leave Records'!$F:$F,"&lt;="&amp;EOMONTH(DATE(Config!$I$7,1,1),0)))</f>
        <v/>
      </c>
      <c r="E91" s="9" t="str">
        <f>IF($B91="","",SUMIFS('Leave Records'!$I:$I,'Leave Records'!$B:$B,$B91,'Leave Records'!$K:$K,"Approved",'Leave Records'!$F:$F,"&gt;="&amp;DATE(Config!$I$7,2,1),'Leave Records'!$F:$F,"&lt;="&amp;EOMONTH(DATE(Config!$I$7,2,1),0)))</f>
        <v/>
      </c>
      <c r="F91" s="8" t="str">
        <f>IF($B91="","",SUMIFS('Leave Records'!$I:$I,'Leave Records'!$B:$B,$B91,'Leave Records'!$K:$K,"Approved",'Leave Records'!$F:$F,"&gt;="&amp;DATE(Config!$I$7,3,1),'Leave Records'!$F:$F,"&lt;="&amp;EOMONTH(DATE(Config!$I$7,3,1),0)))</f>
        <v/>
      </c>
      <c r="G91" s="10" t="str">
        <f>IF($B91="","",SUMIFS('Leave Records'!$I:$I,'Leave Records'!$B:$B,$B91,'Leave Records'!$K:$K,"Approved",'Leave Records'!$F:$F,"&gt;="&amp;DATE(Config!$I$7,4,1),'Leave Records'!$F:$F,"&lt;="&amp;EOMONTH(DATE(Config!$I$7,4,1),0)))</f>
        <v/>
      </c>
      <c r="H91" s="10" t="str">
        <f>IF($B91="","",SUMIFS('Leave Records'!$I:$I,'Leave Records'!$B:$B,$B91,'Leave Records'!$K:$K,"Approved",'Leave Records'!$F:$F,"&gt;="&amp;DATE(Config!$I$7,5,1),'Leave Records'!$F:$F,"&lt;="&amp;EOMONTH(DATE(Config!$I$7,5,1),0)))</f>
        <v/>
      </c>
      <c r="I91" s="8" t="str">
        <f>IF($B91="","",SUMIFS('Leave Records'!$I:$I,'Leave Records'!$B:$B,$B91,'Leave Records'!$K:$K,"Approved",'Leave Records'!$F:$F,"&gt;="&amp;DATE(Config!$I$7,6,1),'Leave Records'!$F:$F,"&lt;="&amp;EOMONTH(DATE(Config!$I$7,6,1),0)))</f>
        <v/>
      </c>
      <c r="J91" s="8" t="str">
        <f>IF($B91="","",SUMIFS('Leave Records'!$I:$I,'Leave Records'!$B:$B,$B91,'Leave Records'!$K:$K,"Approved",'Leave Records'!$F:$F,"&gt;="&amp;DATE(Config!$I$7,7,1),'Leave Records'!$F:$F,"&lt;="&amp;EOMONTH(DATE(Config!$I$7,7,1),0)))</f>
        <v/>
      </c>
      <c r="K91" s="9" t="str">
        <f>IF($B91="","",SUMIFS('Leave Records'!$I:$I,'Leave Records'!$B:$B,$B91,'Leave Records'!$K:$K,"Approved",'Leave Records'!$F:$F,"&gt;="&amp;DATE(Config!$I$7,8,1),'Leave Records'!$F:$F,"&lt;="&amp;EOMONTH(DATE(Config!$I$7,8,1),0)))</f>
        <v/>
      </c>
      <c r="L91" s="8" t="str">
        <f>IF($B91="","",SUMIFS('Leave Records'!$I:$I,'Leave Records'!$B:$B,$B91,'Leave Records'!$K:$K,"Approved",'Leave Records'!$F:$F,"&gt;="&amp;DATE(Config!$I$7,9,1),'Leave Records'!$F:$F,"&lt;="&amp;EOMONTH(DATE(Config!$I$7,9,1),0)))</f>
        <v/>
      </c>
      <c r="M91" s="10" t="str">
        <f>IF($B91="","",SUMIFS('Leave Records'!$I:$I,'Leave Records'!$B:$B,$B91,'Leave Records'!$K:$K,"Approved",'Leave Records'!$F:$F,"&gt;="&amp;DATE(Config!$I$7,10,1),'Leave Records'!$F:$F,"&lt;="&amp;EOMONTH(DATE(Config!$I$7,10,1),0)))</f>
        <v/>
      </c>
      <c r="N91" s="10" t="str">
        <f>IF($B91="","",SUMIFS('Leave Records'!$I:$I,'Leave Records'!$B:$B,$B91,'Leave Records'!$K:$K,"Approved",'Leave Records'!$F:$F,"&gt;="&amp;DATE(Config!$I$7,11,1),'Leave Records'!$F:$F,"&lt;="&amp;EOMONTH(DATE(Config!$I$7,11,1),0)))</f>
        <v/>
      </c>
      <c r="O91" s="8" t="str">
        <f>IF($B91="","",SUMIFS('Leave Records'!$I:$I,'Leave Records'!$B:$B,$B91,'Leave Records'!$K:$K,"Approved",'Leave Records'!$F:$F,"&gt;="&amp;DATE(Config!$I$7,12,1),'Leave Records'!$F:$F,"&lt;="&amp;EOMONTH(DATE(Config!$I$7,12,1),0)))</f>
        <v/>
      </c>
      <c r="P91" s="11" t="str">
        <f t="shared" si="3"/>
        <v/>
      </c>
    </row>
    <row r="92" ht="17" customHeight="1" spans="1:16">
      <c r="A92" s="5" t="str">
        <f t="shared" si="2"/>
        <v/>
      </c>
      <c r="B92" s="12" t="str">
        <f>IF(Config!$B$94="","",Config!$B$94)</f>
        <v/>
      </c>
      <c r="C92" s="13" t="str">
        <f>IF(Config!$B$94="","",Config!$C$94)</f>
        <v/>
      </c>
      <c r="D92" s="9" t="str">
        <f>IF($B92="","",SUMIFS('Leave Records'!$I:$I,'Leave Records'!$B:$B,$B92,'Leave Records'!$K:$K,"Approved",'Leave Records'!$F:$F,"&gt;="&amp;DATE(Config!$I$7,1,1),'Leave Records'!$F:$F,"&lt;="&amp;EOMONTH(DATE(Config!$I$7,1,1),0)))</f>
        <v/>
      </c>
      <c r="E92" s="9" t="str">
        <f>IF($B92="","",SUMIFS('Leave Records'!$I:$I,'Leave Records'!$B:$B,$B92,'Leave Records'!$K:$K,"Approved",'Leave Records'!$F:$F,"&gt;="&amp;DATE(Config!$I$7,2,1),'Leave Records'!$F:$F,"&lt;="&amp;EOMONTH(DATE(Config!$I$7,2,1),0)))</f>
        <v/>
      </c>
      <c r="F92" s="9" t="str">
        <f>IF($B92="","",SUMIFS('Leave Records'!$I:$I,'Leave Records'!$B:$B,$B92,'Leave Records'!$K:$K,"Approved",'Leave Records'!$F:$F,"&gt;="&amp;DATE(Config!$I$7,3,1),'Leave Records'!$F:$F,"&lt;="&amp;EOMONTH(DATE(Config!$I$7,3,1),0)))</f>
        <v/>
      </c>
      <c r="G92" s="9" t="str">
        <f>IF($B92="","",SUMIFS('Leave Records'!$I:$I,'Leave Records'!$B:$B,$B92,'Leave Records'!$K:$K,"Approved",'Leave Records'!$F:$F,"&gt;="&amp;DATE(Config!$I$7,4,1),'Leave Records'!$F:$F,"&lt;="&amp;EOMONTH(DATE(Config!$I$7,4,1),0)))</f>
        <v/>
      </c>
      <c r="H92" s="9" t="str">
        <f>IF($B92="","",SUMIFS('Leave Records'!$I:$I,'Leave Records'!$B:$B,$B92,'Leave Records'!$K:$K,"Approved",'Leave Records'!$F:$F,"&gt;="&amp;DATE(Config!$I$7,5,1),'Leave Records'!$F:$F,"&lt;="&amp;EOMONTH(DATE(Config!$I$7,5,1),0)))</f>
        <v/>
      </c>
      <c r="I92" s="9" t="str">
        <f>IF($B92="","",SUMIFS('Leave Records'!$I:$I,'Leave Records'!$B:$B,$B92,'Leave Records'!$K:$K,"Approved",'Leave Records'!$F:$F,"&gt;="&amp;DATE(Config!$I$7,6,1),'Leave Records'!$F:$F,"&lt;="&amp;EOMONTH(DATE(Config!$I$7,6,1),0)))</f>
        <v/>
      </c>
      <c r="J92" s="9" t="str">
        <f>IF($B92="","",SUMIFS('Leave Records'!$I:$I,'Leave Records'!$B:$B,$B92,'Leave Records'!$K:$K,"Approved",'Leave Records'!$F:$F,"&gt;="&amp;DATE(Config!$I$7,7,1),'Leave Records'!$F:$F,"&lt;="&amp;EOMONTH(DATE(Config!$I$7,7,1),0)))</f>
        <v/>
      </c>
      <c r="K92" s="9" t="str">
        <f>IF($B92="","",SUMIFS('Leave Records'!$I:$I,'Leave Records'!$B:$B,$B92,'Leave Records'!$K:$K,"Approved",'Leave Records'!$F:$F,"&gt;="&amp;DATE(Config!$I$7,8,1),'Leave Records'!$F:$F,"&lt;="&amp;EOMONTH(DATE(Config!$I$7,8,1),0)))</f>
        <v/>
      </c>
      <c r="L92" s="9" t="str">
        <f>IF($B92="","",SUMIFS('Leave Records'!$I:$I,'Leave Records'!$B:$B,$B92,'Leave Records'!$K:$K,"Approved",'Leave Records'!$F:$F,"&gt;="&amp;DATE(Config!$I$7,9,1),'Leave Records'!$F:$F,"&lt;="&amp;EOMONTH(DATE(Config!$I$7,9,1),0)))</f>
        <v/>
      </c>
      <c r="M92" s="9" t="str">
        <f>IF($B92="","",SUMIFS('Leave Records'!$I:$I,'Leave Records'!$B:$B,$B92,'Leave Records'!$K:$K,"Approved",'Leave Records'!$F:$F,"&gt;="&amp;DATE(Config!$I$7,10,1),'Leave Records'!$F:$F,"&lt;="&amp;EOMONTH(DATE(Config!$I$7,10,1),0)))</f>
        <v/>
      </c>
      <c r="N92" s="9" t="str">
        <f>IF($B92="","",SUMIFS('Leave Records'!$I:$I,'Leave Records'!$B:$B,$B92,'Leave Records'!$K:$K,"Approved",'Leave Records'!$F:$F,"&gt;="&amp;DATE(Config!$I$7,11,1),'Leave Records'!$F:$F,"&lt;="&amp;EOMONTH(DATE(Config!$I$7,11,1),0)))</f>
        <v/>
      </c>
      <c r="O92" s="9" t="str">
        <f>IF($B92="","",SUMIFS('Leave Records'!$I:$I,'Leave Records'!$B:$B,$B92,'Leave Records'!$K:$K,"Approved",'Leave Records'!$F:$F,"&gt;="&amp;DATE(Config!$I$7,12,1),'Leave Records'!$F:$F,"&lt;="&amp;EOMONTH(DATE(Config!$I$7,12,1),0)))</f>
        <v/>
      </c>
      <c r="P92" s="14" t="str">
        <f t="shared" si="3"/>
        <v/>
      </c>
    </row>
    <row r="93" ht="17" customHeight="1" spans="1:16">
      <c r="A93" s="5" t="str">
        <f t="shared" si="2"/>
        <v/>
      </c>
      <c r="B93" s="6" t="str">
        <f>IF(Config!$B$95="","",Config!$B$95)</f>
        <v/>
      </c>
      <c r="C93" s="7" t="str">
        <f>IF(Config!$B$95="","",Config!$C$95)</f>
        <v/>
      </c>
      <c r="D93" s="8" t="str">
        <f>IF($B93="","",SUMIFS('Leave Records'!$I:$I,'Leave Records'!$B:$B,$B93,'Leave Records'!$K:$K,"Approved",'Leave Records'!$F:$F,"&gt;="&amp;DATE(Config!$I$7,1,1),'Leave Records'!$F:$F,"&lt;="&amp;EOMONTH(DATE(Config!$I$7,1,1),0)))</f>
        <v/>
      </c>
      <c r="E93" s="9" t="str">
        <f>IF($B93="","",SUMIFS('Leave Records'!$I:$I,'Leave Records'!$B:$B,$B93,'Leave Records'!$K:$K,"Approved",'Leave Records'!$F:$F,"&gt;="&amp;DATE(Config!$I$7,2,1),'Leave Records'!$F:$F,"&lt;="&amp;EOMONTH(DATE(Config!$I$7,2,1),0)))</f>
        <v/>
      </c>
      <c r="F93" s="8" t="str">
        <f>IF($B93="","",SUMIFS('Leave Records'!$I:$I,'Leave Records'!$B:$B,$B93,'Leave Records'!$K:$K,"Approved",'Leave Records'!$F:$F,"&gt;="&amp;DATE(Config!$I$7,3,1),'Leave Records'!$F:$F,"&lt;="&amp;EOMONTH(DATE(Config!$I$7,3,1),0)))</f>
        <v/>
      </c>
      <c r="G93" s="10" t="str">
        <f>IF($B93="","",SUMIFS('Leave Records'!$I:$I,'Leave Records'!$B:$B,$B93,'Leave Records'!$K:$K,"Approved",'Leave Records'!$F:$F,"&gt;="&amp;DATE(Config!$I$7,4,1),'Leave Records'!$F:$F,"&lt;="&amp;EOMONTH(DATE(Config!$I$7,4,1),0)))</f>
        <v/>
      </c>
      <c r="H93" s="10" t="str">
        <f>IF($B93="","",SUMIFS('Leave Records'!$I:$I,'Leave Records'!$B:$B,$B93,'Leave Records'!$K:$K,"Approved",'Leave Records'!$F:$F,"&gt;="&amp;DATE(Config!$I$7,5,1),'Leave Records'!$F:$F,"&lt;="&amp;EOMONTH(DATE(Config!$I$7,5,1),0)))</f>
        <v/>
      </c>
      <c r="I93" s="8" t="str">
        <f>IF($B93="","",SUMIFS('Leave Records'!$I:$I,'Leave Records'!$B:$B,$B93,'Leave Records'!$K:$K,"Approved",'Leave Records'!$F:$F,"&gt;="&amp;DATE(Config!$I$7,6,1),'Leave Records'!$F:$F,"&lt;="&amp;EOMONTH(DATE(Config!$I$7,6,1),0)))</f>
        <v/>
      </c>
      <c r="J93" s="8" t="str">
        <f>IF($B93="","",SUMIFS('Leave Records'!$I:$I,'Leave Records'!$B:$B,$B93,'Leave Records'!$K:$K,"Approved",'Leave Records'!$F:$F,"&gt;="&amp;DATE(Config!$I$7,7,1),'Leave Records'!$F:$F,"&lt;="&amp;EOMONTH(DATE(Config!$I$7,7,1),0)))</f>
        <v/>
      </c>
      <c r="K93" s="9" t="str">
        <f>IF($B93="","",SUMIFS('Leave Records'!$I:$I,'Leave Records'!$B:$B,$B93,'Leave Records'!$K:$K,"Approved",'Leave Records'!$F:$F,"&gt;="&amp;DATE(Config!$I$7,8,1),'Leave Records'!$F:$F,"&lt;="&amp;EOMONTH(DATE(Config!$I$7,8,1),0)))</f>
        <v/>
      </c>
      <c r="L93" s="8" t="str">
        <f>IF($B93="","",SUMIFS('Leave Records'!$I:$I,'Leave Records'!$B:$B,$B93,'Leave Records'!$K:$K,"Approved",'Leave Records'!$F:$F,"&gt;="&amp;DATE(Config!$I$7,9,1),'Leave Records'!$F:$F,"&lt;="&amp;EOMONTH(DATE(Config!$I$7,9,1),0)))</f>
        <v/>
      </c>
      <c r="M93" s="10" t="str">
        <f>IF($B93="","",SUMIFS('Leave Records'!$I:$I,'Leave Records'!$B:$B,$B93,'Leave Records'!$K:$K,"Approved",'Leave Records'!$F:$F,"&gt;="&amp;DATE(Config!$I$7,10,1),'Leave Records'!$F:$F,"&lt;="&amp;EOMONTH(DATE(Config!$I$7,10,1),0)))</f>
        <v/>
      </c>
      <c r="N93" s="10" t="str">
        <f>IF($B93="","",SUMIFS('Leave Records'!$I:$I,'Leave Records'!$B:$B,$B93,'Leave Records'!$K:$K,"Approved",'Leave Records'!$F:$F,"&gt;="&amp;DATE(Config!$I$7,11,1),'Leave Records'!$F:$F,"&lt;="&amp;EOMONTH(DATE(Config!$I$7,11,1),0)))</f>
        <v/>
      </c>
      <c r="O93" s="8" t="str">
        <f>IF($B93="","",SUMIFS('Leave Records'!$I:$I,'Leave Records'!$B:$B,$B93,'Leave Records'!$K:$K,"Approved",'Leave Records'!$F:$F,"&gt;="&amp;DATE(Config!$I$7,12,1),'Leave Records'!$F:$F,"&lt;="&amp;EOMONTH(DATE(Config!$I$7,12,1),0)))</f>
        <v/>
      </c>
      <c r="P93" s="11" t="str">
        <f t="shared" si="3"/>
        <v/>
      </c>
    </row>
    <row r="94" ht="17" customHeight="1" spans="1:16">
      <c r="A94" s="5" t="str">
        <f t="shared" si="2"/>
        <v/>
      </c>
      <c r="B94" s="12" t="str">
        <f>IF(Config!$B$96="","",Config!$B$96)</f>
        <v/>
      </c>
      <c r="C94" s="13" t="str">
        <f>IF(Config!$B$96="","",Config!$C$96)</f>
        <v/>
      </c>
      <c r="D94" s="9" t="str">
        <f>IF($B94="","",SUMIFS('Leave Records'!$I:$I,'Leave Records'!$B:$B,$B94,'Leave Records'!$K:$K,"Approved",'Leave Records'!$F:$F,"&gt;="&amp;DATE(Config!$I$7,1,1),'Leave Records'!$F:$F,"&lt;="&amp;EOMONTH(DATE(Config!$I$7,1,1),0)))</f>
        <v/>
      </c>
      <c r="E94" s="9" t="str">
        <f>IF($B94="","",SUMIFS('Leave Records'!$I:$I,'Leave Records'!$B:$B,$B94,'Leave Records'!$K:$K,"Approved",'Leave Records'!$F:$F,"&gt;="&amp;DATE(Config!$I$7,2,1),'Leave Records'!$F:$F,"&lt;="&amp;EOMONTH(DATE(Config!$I$7,2,1),0)))</f>
        <v/>
      </c>
      <c r="F94" s="9" t="str">
        <f>IF($B94="","",SUMIFS('Leave Records'!$I:$I,'Leave Records'!$B:$B,$B94,'Leave Records'!$K:$K,"Approved",'Leave Records'!$F:$F,"&gt;="&amp;DATE(Config!$I$7,3,1),'Leave Records'!$F:$F,"&lt;="&amp;EOMONTH(DATE(Config!$I$7,3,1),0)))</f>
        <v/>
      </c>
      <c r="G94" s="9" t="str">
        <f>IF($B94="","",SUMIFS('Leave Records'!$I:$I,'Leave Records'!$B:$B,$B94,'Leave Records'!$K:$K,"Approved",'Leave Records'!$F:$F,"&gt;="&amp;DATE(Config!$I$7,4,1),'Leave Records'!$F:$F,"&lt;="&amp;EOMONTH(DATE(Config!$I$7,4,1),0)))</f>
        <v/>
      </c>
      <c r="H94" s="9" t="str">
        <f>IF($B94="","",SUMIFS('Leave Records'!$I:$I,'Leave Records'!$B:$B,$B94,'Leave Records'!$K:$K,"Approved",'Leave Records'!$F:$F,"&gt;="&amp;DATE(Config!$I$7,5,1),'Leave Records'!$F:$F,"&lt;="&amp;EOMONTH(DATE(Config!$I$7,5,1),0)))</f>
        <v/>
      </c>
      <c r="I94" s="9" t="str">
        <f>IF($B94="","",SUMIFS('Leave Records'!$I:$I,'Leave Records'!$B:$B,$B94,'Leave Records'!$K:$K,"Approved",'Leave Records'!$F:$F,"&gt;="&amp;DATE(Config!$I$7,6,1),'Leave Records'!$F:$F,"&lt;="&amp;EOMONTH(DATE(Config!$I$7,6,1),0)))</f>
        <v/>
      </c>
      <c r="J94" s="9" t="str">
        <f>IF($B94="","",SUMIFS('Leave Records'!$I:$I,'Leave Records'!$B:$B,$B94,'Leave Records'!$K:$K,"Approved",'Leave Records'!$F:$F,"&gt;="&amp;DATE(Config!$I$7,7,1),'Leave Records'!$F:$F,"&lt;="&amp;EOMONTH(DATE(Config!$I$7,7,1),0)))</f>
        <v/>
      </c>
      <c r="K94" s="9" t="str">
        <f>IF($B94="","",SUMIFS('Leave Records'!$I:$I,'Leave Records'!$B:$B,$B94,'Leave Records'!$K:$K,"Approved",'Leave Records'!$F:$F,"&gt;="&amp;DATE(Config!$I$7,8,1),'Leave Records'!$F:$F,"&lt;="&amp;EOMONTH(DATE(Config!$I$7,8,1),0)))</f>
        <v/>
      </c>
      <c r="L94" s="9" t="str">
        <f>IF($B94="","",SUMIFS('Leave Records'!$I:$I,'Leave Records'!$B:$B,$B94,'Leave Records'!$K:$K,"Approved",'Leave Records'!$F:$F,"&gt;="&amp;DATE(Config!$I$7,9,1),'Leave Records'!$F:$F,"&lt;="&amp;EOMONTH(DATE(Config!$I$7,9,1),0)))</f>
        <v/>
      </c>
      <c r="M94" s="9" t="str">
        <f>IF($B94="","",SUMIFS('Leave Records'!$I:$I,'Leave Records'!$B:$B,$B94,'Leave Records'!$K:$K,"Approved",'Leave Records'!$F:$F,"&gt;="&amp;DATE(Config!$I$7,10,1),'Leave Records'!$F:$F,"&lt;="&amp;EOMONTH(DATE(Config!$I$7,10,1),0)))</f>
        <v/>
      </c>
      <c r="N94" s="9" t="str">
        <f>IF($B94="","",SUMIFS('Leave Records'!$I:$I,'Leave Records'!$B:$B,$B94,'Leave Records'!$K:$K,"Approved",'Leave Records'!$F:$F,"&gt;="&amp;DATE(Config!$I$7,11,1),'Leave Records'!$F:$F,"&lt;="&amp;EOMONTH(DATE(Config!$I$7,11,1),0)))</f>
        <v/>
      </c>
      <c r="O94" s="9" t="str">
        <f>IF($B94="","",SUMIFS('Leave Records'!$I:$I,'Leave Records'!$B:$B,$B94,'Leave Records'!$K:$K,"Approved",'Leave Records'!$F:$F,"&gt;="&amp;DATE(Config!$I$7,12,1),'Leave Records'!$F:$F,"&lt;="&amp;EOMONTH(DATE(Config!$I$7,12,1),0)))</f>
        <v/>
      </c>
      <c r="P94" s="14" t="str">
        <f t="shared" si="3"/>
        <v/>
      </c>
    </row>
    <row r="95" ht="17" customHeight="1" spans="1:16">
      <c r="A95" s="5" t="str">
        <f t="shared" si="2"/>
        <v/>
      </c>
      <c r="B95" s="6" t="str">
        <f>IF(Config!$B$97="","",Config!$B$97)</f>
        <v/>
      </c>
      <c r="C95" s="7" t="str">
        <f>IF(Config!$B$97="","",Config!$C$97)</f>
        <v/>
      </c>
      <c r="D95" s="8" t="str">
        <f>IF($B95="","",SUMIFS('Leave Records'!$I:$I,'Leave Records'!$B:$B,$B95,'Leave Records'!$K:$K,"Approved",'Leave Records'!$F:$F,"&gt;="&amp;DATE(Config!$I$7,1,1),'Leave Records'!$F:$F,"&lt;="&amp;EOMONTH(DATE(Config!$I$7,1,1),0)))</f>
        <v/>
      </c>
      <c r="E95" s="9" t="str">
        <f>IF($B95="","",SUMIFS('Leave Records'!$I:$I,'Leave Records'!$B:$B,$B95,'Leave Records'!$K:$K,"Approved",'Leave Records'!$F:$F,"&gt;="&amp;DATE(Config!$I$7,2,1),'Leave Records'!$F:$F,"&lt;="&amp;EOMONTH(DATE(Config!$I$7,2,1),0)))</f>
        <v/>
      </c>
      <c r="F95" s="8" t="str">
        <f>IF($B95="","",SUMIFS('Leave Records'!$I:$I,'Leave Records'!$B:$B,$B95,'Leave Records'!$K:$K,"Approved",'Leave Records'!$F:$F,"&gt;="&amp;DATE(Config!$I$7,3,1),'Leave Records'!$F:$F,"&lt;="&amp;EOMONTH(DATE(Config!$I$7,3,1),0)))</f>
        <v/>
      </c>
      <c r="G95" s="10" t="str">
        <f>IF($B95="","",SUMIFS('Leave Records'!$I:$I,'Leave Records'!$B:$B,$B95,'Leave Records'!$K:$K,"Approved",'Leave Records'!$F:$F,"&gt;="&amp;DATE(Config!$I$7,4,1),'Leave Records'!$F:$F,"&lt;="&amp;EOMONTH(DATE(Config!$I$7,4,1),0)))</f>
        <v/>
      </c>
      <c r="H95" s="10" t="str">
        <f>IF($B95="","",SUMIFS('Leave Records'!$I:$I,'Leave Records'!$B:$B,$B95,'Leave Records'!$K:$K,"Approved",'Leave Records'!$F:$F,"&gt;="&amp;DATE(Config!$I$7,5,1),'Leave Records'!$F:$F,"&lt;="&amp;EOMONTH(DATE(Config!$I$7,5,1),0)))</f>
        <v/>
      </c>
      <c r="I95" s="8" t="str">
        <f>IF($B95="","",SUMIFS('Leave Records'!$I:$I,'Leave Records'!$B:$B,$B95,'Leave Records'!$K:$K,"Approved",'Leave Records'!$F:$F,"&gt;="&amp;DATE(Config!$I$7,6,1),'Leave Records'!$F:$F,"&lt;="&amp;EOMONTH(DATE(Config!$I$7,6,1),0)))</f>
        <v/>
      </c>
      <c r="J95" s="8" t="str">
        <f>IF($B95="","",SUMIFS('Leave Records'!$I:$I,'Leave Records'!$B:$B,$B95,'Leave Records'!$K:$K,"Approved",'Leave Records'!$F:$F,"&gt;="&amp;DATE(Config!$I$7,7,1),'Leave Records'!$F:$F,"&lt;="&amp;EOMONTH(DATE(Config!$I$7,7,1),0)))</f>
        <v/>
      </c>
      <c r="K95" s="9" t="str">
        <f>IF($B95="","",SUMIFS('Leave Records'!$I:$I,'Leave Records'!$B:$B,$B95,'Leave Records'!$K:$K,"Approved",'Leave Records'!$F:$F,"&gt;="&amp;DATE(Config!$I$7,8,1),'Leave Records'!$F:$F,"&lt;="&amp;EOMONTH(DATE(Config!$I$7,8,1),0)))</f>
        <v/>
      </c>
      <c r="L95" s="8" t="str">
        <f>IF($B95="","",SUMIFS('Leave Records'!$I:$I,'Leave Records'!$B:$B,$B95,'Leave Records'!$K:$K,"Approved",'Leave Records'!$F:$F,"&gt;="&amp;DATE(Config!$I$7,9,1),'Leave Records'!$F:$F,"&lt;="&amp;EOMONTH(DATE(Config!$I$7,9,1),0)))</f>
        <v/>
      </c>
      <c r="M95" s="10" t="str">
        <f>IF($B95="","",SUMIFS('Leave Records'!$I:$I,'Leave Records'!$B:$B,$B95,'Leave Records'!$K:$K,"Approved",'Leave Records'!$F:$F,"&gt;="&amp;DATE(Config!$I$7,10,1),'Leave Records'!$F:$F,"&lt;="&amp;EOMONTH(DATE(Config!$I$7,10,1),0)))</f>
        <v/>
      </c>
      <c r="N95" s="10" t="str">
        <f>IF($B95="","",SUMIFS('Leave Records'!$I:$I,'Leave Records'!$B:$B,$B95,'Leave Records'!$K:$K,"Approved",'Leave Records'!$F:$F,"&gt;="&amp;DATE(Config!$I$7,11,1),'Leave Records'!$F:$F,"&lt;="&amp;EOMONTH(DATE(Config!$I$7,11,1),0)))</f>
        <v/>
      </c>
      <c r="O95" s="8" t="str">
        <f>IF($B95="","",SUMIFS('Leave Records'!$I:$I,'Leave Records'!$B:$B,$B95,'Leave Records'!$K:$K,"Approved",'Leave Records'!$F:$F,"&gt;="&amp;DATE(Config!$I$7,12,1),'Leave Records'!$F:$F,"&lt;="&amp;EOMONTH(DATE(Config!$I$7,12,1),0)))</f>
        <v/>
      </c>
      <c r="P95" s="11" t="str">
        <f t="shared" si="3"/>
        <v/>
      </c>
    </row>
    <row r="96" ht="17" customHeight="1" spans="1:16">
      <c r="A96" s="5" t="str">
        <f t="shared" si="2"/>
        <v/>
      </c>
      <c r="B96" s="12" t="str">
        <f>IF(Config!$B$98="","",Config!$B$98)</f>
        <v/>
      </c>
      <c r="C96" s="13" t="str">
        <f>IF(Config!$B$98="","",Config!$C$98)</f>
        <v/>
      </c>
      <c r="D96" s="9" t="str">
        <f>IF($B96="","",SUMIFS('Leave Records'!$I:$I,'Leave Records'!$B:$B,$B96,'Leave Records'!$K:$K,"Approved",'Leave Records'!$F:$F,"&gt;="&amp;DATE(Config!$I$7,1,1),'Leave Records'!$F:$F,"&lt;="&amp;EOMONTH(DATE(Config!$I$7,1,1),0)))</f>
        <v/>
      </c>
      <c r="E96" s="9" t="str">
        <f>IF($B96="","",SUMIFS('Leave Records'!$I:$I,'Leave Records'!$B:$B,$B96,'Leave Records'!$K:$K,"Approved",'Leave Records'!$F:$F,"&gt;="&amp;DATE(Config!$I$7,2,1),'Leave Records'!$F:$F,"&lt;="&amp;EOMONTH(DATE(Config!$I$7,2,1),0)))</f>
        <v/>
      </c>
      <c r="F96" s="9" t="str">
        <f>IF($B96="","",SUMIFS('Leave Records'!$I:$I,'Leave Records'!$B:$B,$B96,'Leave Records'!$K:$K,"Approved",'Leave Records'!$F:$F,"&gt;="&amp;DATE(Config!$I$7,3,1),'Leave Records'!$F:$F,"&lt;="&amp;EOMONTH(DATE(Config!$I$7,3,1),0)))</f>
        <v/>
      </c>
      <c r="G96" s="9" t="str">
        <f>IF($B96="","",SUMIFS('Leave Records'!$I:$I,'Leave Records'!$B:$B,$B96,'Leave Records'!$K:$K,"Approved",'Leave Records'!$F:$F,"&gt;="&amp;DATE(Config!$I$7,4,1),'Leave Records'!$F:$F,"&lt;="&amp;EOMONTH(DATE(Config!$I$7,4,1),0)))</f>
        <v/>
      </c>
      <c r="H96" s="9" t="str">
        <f>IF($B96="","",SUMIFS('Leave Records'!$I:$I,'Leave Records'!$B:$B,$B96,'Leave Records'!$K:$K,"Approved",'Leave Records'!$F:$F,"&gt;="&amp;DATE(Config!$I$7,5,1),'Leave Records'!$F:$F,"&lt;="&amp;EOMONTH(DATE(Config!$I$7,5,1),0)))</f>
        <v/>
      </c>
      <c r="I96" s="9" t="str">
        <f>IF($B96="","",SUMIFS('Leave Records'!$I:$I,'Leave Records'!$B:$B,$B96,'Leave Records'!$K:$K,"Approved",'Leave Records'!$F:$F,"&gt;="&amp;DATE(Config!$I$7,6,1),'Leave Records'!$F:$F,"&lt;="&amp;EOMONTH(DATE(Config!$I$7,6,1),0)))</f>
        <v/>
      </c>
      <c r="J96" s="9" t="str">
        <f>IF($B96="","",SUMIFS('Leave Records'!$I:$I,'Leave Records'!$B:$B,$B96,'Leave Records'!$K:$K,"Approved",'Leave Records'!$F:$F,"&gt;="&amp;DATE(Config!$I$7,7,1),'Leave Records'!$F:$F,"&lt;="&amp;EOMONTH(DATE(Config!$I$7,7,1),0)))</f>
        <v/>
      </c>
      <c r="K96" s="9" t="str">
        <f>IF($B96="","",SUMIFS('Leave Records'!$I:$I,'Leave Records'!$B:$B,$B96,'Leave Records'!$K:$K,"Approved",'Leave Records'!$F:$F,"&gt;="&amp;DATE(Config!$I$7,8,1),'Leave Records'!$F:$F,"&lt;="&amp;EOMONTH(DATE(Config!$I$7,8,1),0)))</f>
        <v/>
      </c>
      <c r="L96" s="9" t="str">
        <f>IF($B96="","",SUMIFS('Leave Records'!$I:$I,'Leave Records'!$B:$B,$B96,'Leave Records'!$K:$K,"Approved",'Leave Records'!$F:$F,"&gt;="&amp;DATE(Config!$I$7,9,1),'Leave Records'!$F:$F,"&lt;="&amp;EOMONTH(DATE(Config!$I$7,9,1),0)))</f>
        <v/>
      </c>
      <c r="M96" s="9" t="str">
        <f>IF($B96="","",SUMIFS('Leave Records'!$I:$I,'Leave Records'!$B:$B,$B96,'Leave Records'!$K:$K,"Approved",'Leave Records'!$F:$F,"&gt;="&amp;DATE(Config!$I$7,10,1),'Leave Records'!$F:$F,"&lt;="&amp;EOMONTH(DATE(Config!$I$7,10,1),0)))</f>
        <v/>
      </c>
      <c r="N96" s="9" t="str">
        <f>IF($B96="","",SUMIFS('Leave Records'!$I:$I,'Leave Records'!$B:$B,$B96,'Leave Records'!$K:$K,"Approved",'Leave Records'!$F:$F,"&gt;="&amp;DATE(Config!$I$7,11,1),'Leave Records'!$F:$F,"&lt;="&amp;EOMONTH(DATE(Config!$I$7,11,1),0)))</f>
        <v/>
      </c>
      <c r="O96" s="9" t="str">
        <f>IF($B96="","",SUMIFS('Leave Records'!$I:$I,'Leave Records'!$B:$B,$B96,'Leave Records'!$K:$K,"Approved",'Leave Records'!$F:$F,"&gt;="&amp;DATE(Config!$I$7,12,1),'Leave Records'!$F:$F,"&lt;="&amp;EOMONTH(DATE(Config!$I$7,12,1),0)))</f>
        <v/>
      </c>
      <c r="P96" s="14" t="str">
        <f t="shared" si="3"/>
        <v/>
      </c>
    </row>
    <row r="97" ht="17" customHeight="1" spans="1:16">
      <c r="A97" s="5" t="str">
        <f t="shared" si="2"/>
        <v/>
      </c>
      <c r="B97" s="6" t="str">
        <f>IF(Config!$B$99="","",Config!$B$99)</f>
        <v/>
      </c>
      <c r="C97" s="7" t="str">
        <f>IF(Config!$B$99="","",Config!$C$99)</f>
        <v/>
      </c>
      <c r="D97" s="8" t="str">
        <f>IF($B97="","",SUMIFS('Leave Records'!$I:$I,'Leave Records'!$B:$B,$B97,'Leave Records'!$K:$K,"Approved",'Leave Records'!$F:$F,"&gt;="&amp;DATE(Config!$I$7,1,1),'Leave Records'!$F:$F,"&lt;="&amp;EOMONTH(DATE(Config!$I$7,1,1),0)))</f>
        <v/>
      </c>
      <c r="E97" s="9" t="str">
        <f>IF($B97="","",SUMIFS('Leave Records'!$I:$I,'Leave Records'!$B:$B,$B97,'Leave Records'!$K:$K,"Approved",'Leave Records'!$F:$F,"&gt;="&amp;DATE(Config!$I$7,2,1),'Leave Records'!$F:$F,"&lt;="&amp;EOMONTH(DATE(Config!$I$7,2,1),0)))</f>
        <v/>
      </c>
      <c r="F97" s="8" t="str">
        <f>IF($B97="","",SUMIFS('Leave Records'!$I:$I,'Leave Records'!$B:$B,$B97,'Leave Records'!$K:$K,"Approved",'Leave Records'!$F:$F,"&gt;="&amp;DATE(Config!$I$7,3,1),'Leave Records'!$F:$F,"&lt;="&amp;EOMONTH(DATE(Config!$I$7,3,1),0)))</f>
        <v/>
      </c>
      <c r="G97" s="10" t="str">
        <f>IF($B97="","",SUMIFS('Leave Records'!$I:$I,'Leave Records'!$B:$B,$B97,'Leave Records'!$K:$K,"Approved",'Leave Records'!$F:$F,"&gt;="&amp;DATE(Config!$I$7,4,1),'Leave Records'!$F:$F,"&lt;="&amp;EOMONTH(DATE(Config!$I$7,4,1),0)))</f>
        <v/>
      </c>
      <c r="H97" s="10" t="str">
        <f>IF($B97="","",SUMIFS('Leave Records'!$I:$I,'Leave Records'!$B:$B,$B97,'Leave Records'!$K:$K,"Approved",'Leave Records'!$F:$F,"&gt;="&amp;DATE(Config!$I$7,5,1),'Leave Records'!$F:$F,"&lt;="&amp;EOMONTH(DATE(Config!$I$7,5,1),0)))</f>
        <v/>
      </c>
      <c r="I97" s="8" t="str">
        <f>IF($B97="","",SUMIFS('Leave Records'!$I:$I,'Leave Records'!$B:$B,$B97,'Leave Records'!$K:$K,"Approved",'Leave Records'!$F:$F,"&gt;="&amp;DATE(Config!$I$7,6,1),'Leave Records'!$F:$F,"&lt;="&amp;EOMONTH(DATE(Config!$I$7,6,1),0)))</f>
        <v/>
      </c>
      <c r="J97" s="8" t="str">
        <f>IF($B97="","",SUMIFS('Leave Records'!$I:$I,'Leave Records'!$B:$B,$B97,'Leave Records'!$K:$K,"Approved",'Leave Records'!$F:$F,"&gt;="&amp;DATE(Config!$I$7,7,1),'Leave Records'!$F:$F,"&lt;="&amp;EOMONTH(DATE(Config!$I$7,7,1),0)))</f>
        <v/>
      </c>
      <c r="K97" s="9" t="str">
        <f>IF($B97="","",SUMIFS('Leave Records'!$I:$I,'Leave Records'!$B:$B,$B97,'Leave Records'!$K:$K,"Approved",'Leave Records'!$F:$F,"&gt;="&amp;DATE(Config!$I$7,8,1),'Leave Records'!$F:$F,"&lt;="&amp;EOMONTH(DATE(Config!$I$7,8,1),0)))</f>
        <v/>
      </c>
      <c r="L97" s="8" t="str">
        <f>IF($B97="","",SUMIFS('Leave Records'!$I:$I,'Leave Records'!$B:$B,$B97,'Leave Records'!$K:$K,"Approved",'Leave Records'!$F:$F,"&gt;="&amp;DATE(Config!$I$7,9,1),'Leave Records'!$F:$F,"&lt;="&amp;EOMONTH(DATE(Config!$I$7,9,1),0)))</f>
        <v/>
      </c>
      <c r="M97" s="10" t="str">
        <f>IF($B97="","",SUMIFS('Leave Records'!$I:$I,'Leave Records'!$B:$B,$B97,'Leave Records'!$K:$K,"Approved",'Leave Records'!$F:$F,"&gt;="&amp;DATE(Config!$I$7,10,1),'Leave Records'!$F:$F,"&lt;="&amp;EOMONTH(DATE(Config!$I$7,10,1),0)))</f>
        <v/>
      </c>
      <c r="N97" s="10" t="str">
        <f>IF($B97="","",SUMIFS('Leave Records'!$I:$I,'Leave Records'!$B:$B,$B97,'Leave Records'!$K:$K,"Approved",'Leave Records'!$F:$F,"&gt;="&amp;DATE(Config!$I$7,11,1),'Leave Records'!$F:$F,"&lt;="&amp;EOMONTH(DATE(Config!$I$7,11,1),0)))</f>
        <v/>
      </c>
      <c r="O97" s="8" t="str">
        <f>IF($B97="","",SUMIFS('Leave Records'!$I:$I,'Leave Records'!$B:$B,$B97,'Leave Records'!$K:$K,"Approved",'Leave Records'!$F:$F,"&gt;="&amp;DATE(Config!$I$7,12,1),'Leave Records'!$F:$F,"&lt;="&amp;EOMONTH(DATE(Config!$I$7,12,1),0)))</f>
        <v/>
      </c>
      <c r="P97" s="11" t="str">
        <f t="shared" si="3"/>
        <v/>
      </c>
    </row>
    <row r="98" ht="17" customHeight="1" spans="1:16">
      <c r="A98" s="5" t="str">
        <f t="shared" si="2"/>
        <v/>
      </c>
      <c r="B98" s="12" t="str">
        <f>IF(Config!$B$100="","",Config!$B$100)</f>
        <v/>
      </c>
      <c r="C98" s="13" t="str">
        <f>IF(Config!$B$100="","",Config!$C$100)</f>
        <v/>
      </c>
      <c r="D98" s="9" t="str">
        <f>IF($B98="","",SUMIFS('Leave Records'!$I:$I,'Leave Records'!$B:$B,$B98,'Leave Records'!$K:$K,"Approved",'Leave Records'!$F:$F,"&gt;="&amp;DATE(Config!$I$7,1,1),'Leave Records'!$F:$F,"&lt;="&amp;EOMONTH(DATE(Config!$I$7,1,1),0)))</f>
        <v/>
      </c>
      <c r="E98" s="9" t="str">
        <f>IF($B98="","",SUMIFS('Leave Records'!$I:$I,'Leave Records'!$B:$B,$B98,'Leave Records'!$K:$K,"Approved",'Leave Records'!$F:$F,"&gt;="&amp;DATE(Config!$I$7,2,1),'Leave Records'!$F:$F,"&lt;="&amp;EOMONTH(DATE(Config!$I$7,2,1),0)))</f>
        <v/>
      </c>
      <c r="F98" s="9" t="str">
        <f>IF($B98="","",SUMIFS('Leave Records'!$I:$I,'Leave Records'!$B:$B,$B98,'Leave Records'!$K:$K,"Approved",'Leave Records'!$F:$F,"&gt;="&amp;DATE(Config!$I$7,3,1),'Leave Records'!$F:$F,"&lt;="&amp;EOMONTH(DATE(Config!$I$7,3,1),0)))</f>
        <v/>
      </c>
      <c r="G98" s="9" t="str">
        <f>IF($B98="","",SUMIFS('Leave Records'!$I:$I,'Leave Records'!$B:$B,$B98,'Leave Records'!$K:$K,"Approved",'Leave Records'!$F:$F,"&gt;="&amp;DATE(Config!$I$7,4,1),'Leave Records'!$F:$F,"&lt;="&amp;EOMONTH(DATE(Config!$I$7,4,1),0)))</f>
        <v/>
      </c>
      <c r="H98" s="9" t="str">
        <f>IF($B98="","",SUMIFS('Leave Records'!$I:$I,'Leave Records'!$B:$B,$B98,'Leave Records'!$K:$K,"Approved",'Leave Records'!$F:$F,"&gt;="&amp;DATE(Config!$I$7,5,1),'Leave Records'!$F:$F,"&lt;="&amp;EOMONTH(DATE(Config!$I$7,5,1),0)))</f>
        <v/>
      </c>
      <c r="I98" s="9" t="str">
        <f>IF($B98="","",SUMIFS('Leave Records'!$I:$I,'Leave Records'!$B:$B,$B98,'Leave Records'!$K:$K,"Approved",'Leave Records'!$F:$F,"&gt;="&amp;DATE(Config!$I$7,6,1),'Leave Records'!$F:$F,"&lt;="&amp;EOMONTH(DATE(Config!$I$7,6,1),0)))</f>
        <v/>
      </c>
      <c r="J98" s="9" t="str">
        <f>IF($B98="","",SUMIFS('Leave Records'!$I:$I,'Leave Records'!$B:$B,$B98,'Leave Records'!$K:$K,"Approved",'Leave Records'!$F:$F,"&gt;="&amp;DATE(Config!$I$7,7,1),'Leave Records'!$F:$F,"&lt;="&amp;EOMONTH(DATE(Config!$I$7,7,1),0)))</f>
        <v/>
      </c>
      <c r="K98" s="9" t="str">
        <f>IF($B98="","",SUMIFS('Leave Records'!$I:$I,'Leave Records'!$B:$B,$B98,'Leave Records'!$K:$K,"Approved",'Leave Records'!$F:$F,"&gt;="&amp;DATE(Config!$I$7,8,1),'Leave Records'!$F:$F,"&lt;="&amp;EOMONTH(DATE(Config!$I$7,8,1),0)))</f>
        <v/>
      </c>
      <c r="L98" s="9" t="str">
        <f>IF($B98="","",SUMIFS('Leave Records'!$I:$I,'Leave Records'!$B:$B,$B98,'Leave Records'!$K:$K,"Approved",'Leave Records'!$F:$F,"&gt;="&amp;DATE(Config!$I$7,9,1),'Leave Records'!$F:$F,"&lt;="&amp;EOMONTH(DATE(Config!$I$7,9,1),0)))</f>
        <v/>
      </c>
      <c r="M98" s="9" t="str">
        <f>IF($B98="","",SUMIFS('Leave Records'!$I:$I,'Leave Records'!$B:$B,$B98,'Leave Records'!$K:$K,"Approved",'Leave Records'!$F:$F,"&gt;="&amp;DATE(Config!$I$7,10,1),'Leave Records'!$F:$F,"&lt;="&amp;EOMONTH(DATE(Config!$I$7,10,1),0)))</f>
        <v/>
      </c>
      <c r="N98" s="9" t="str">
        <f>IF($B98="","",SUMIFS('Leave Records'!$I:$I,'Leave Records'!$B:$B,$B98,'Leave Records'!$K:$K,"Approved",'Leave Records'!$F:$F,"&gt;="&amp;DATE(Config!$I$7,11,1),'Leave Records'!$F:$F,"&lt;="&amp;EOMONTH(DATE(Config!$I$7,11,1),0)))</f>
        <v/>
      </c>
      <c r="O98" s="9" t="str">
        <f>IF($B98="","",SUMIFS('Leave Records'!$I:$I,'Leave Records'!$B:$B,$B98,'Leave Records'!$K:$K,"Approved",'Leave Records'!$F:$F,"&gt;="&amp;DATE(Config!$I$7,12,1),'Leave Records'!$F:$F,"&lt;="&amp;EOMONTH(DATE(Config!$I$7,12,1),0)))</f>
        <v/>
      </c>
      <c r="P98" s="14" t="str">
        <f t="shared" si="3"/>
        <v/>
      </c>
    </row>
    <row r="99" ht="17" customHeight="1" spans="1:16">
      <c r="A99" s="5" t="str">
        <f t="shared" si="2"/>
        <v/>
      </c>
      <c r="B99" s="6" t="str">
        <f>IF(Config!$B$101="","",Config!$B$101)</f>
        <v/>
      </c>
      <c r="C99" s="7" t="str">
        <f>IF(Config!$B$101="","",Config!$C$101)</f>
        <v/>
      </c>
      <c r="D99" s="8" t="str">
        <f>IF($B99="","",SUMIFS('Leave Records'!$I:$I,'Leave Records'!$B:$B,$B99,'Leave Records'!$K:$K,"Approved",'Leave Records'!$F:$F,"&gt;="&amp;DATE(Config!$I$7,1,1),'Leave Records'!$F:$F,"&lt;="&amp;EOMONTH(DATE(Config!$I$7,1,1),0)))</f>
        <v/>
      </c>
      <c r="E99" s="9" t="str">
        <f>IF($B99="","",SUMIFS('Leave Records'!$I:$I,'Leave Records'!$B:$B,$B99,'Leave Records'!$K:$K,"Approved",'Leave Records'!$F:$F,"&gt;="&amp;DATE(Config!$I$7,2,1),'Leave Records'!$F:$F,"&lt;="&amp;EOMONTH(DATE(Config!$I$7,2,1),0)))</f>
        <v/>
      </c>
      <c r="F99" s="8" t="str">
        <f>IF($B99="","",SUMIFS('Leave Records'!$I:$I,'Leave Records'!$B:$B,$B99,'Leave Records'!$K:$K,"Approved",'Leave Records'!$F:$F,"&gt;="&amp;DATE(Config!$I$7,3,1),'Leave Records'!$F:$F,"&lt;="&amp;EOMONTH(DATE(Config!$I$7,3,1),0)))</f>
        <v/>
      </c>
      <c r="G99" s="10" t="str">
        <f>IF($B99="","",SUMIFS('Leave Records'!$I:$I,'Leave Records'!$B:$B,$B99,'Leave Records'!$K:$K,"Approved",'Leave Records'!$F:$F,"&gt;="&amp;DATE(Config!$I$7,4,1),'Leave Records'!$F:$F,"&lt;="&amp;EOMONTH(DATE(Config!$I$7,4,1),0)))</f>
        <v/>
      </c>
      <c r="H99" s="10" t="str">
        <f>IF($B99="","",SUMIFS('Leave Records'!$I:$I,'Leave Records'!$B:$B,$B99,'Leave Records'!$K:$K,"Approved",'Leave Records'!$F:$F,"&gt;="&amp;DATE(Config!$I$7,5,1),'Leave Records'!$F:$F,"&lt;="&amp;EOMONTH(DATE(Config!$I$7,5,1),0)))</f>
        <v/>
      </c>
      <c r="I99" s="8" t="str">
        <f>IF($B99="","",SUMIFS('Leave Records'!$I:$I,'Leave Records'!$B:$B,$B99,'Leave Records'!$K:$K,"Approved",'Leave Records'!$F:$F,"&gt;="&amp;DATE(Config!$I$7,6,1),'Leave Records'!$F:$F,"&lt;="&amp;EOMONTH(DATE(Config!$I$7,6,1),0)))</f>
        <v/>
      </c>
      <c r="J99" s="8" t="str">
        <f>IF($B99="","",SUMIFS('Leave Records'!$I:$I,'Leave Records'!$B:$B,$B99,'Leave Records'!$K:$K,"Approved",'Leave Records'!$F:$F,"&gt;="&amp;DATE(Config!$I$7,7,1),'Leave Records'!$F:$F,"&lt;="&amp;EOMONTH(DATE(Config!$I$7,7,1),0)))</f>
        <v/>
      </c>
      <c r="K99" s="9" t="str">
        <f>IF($B99="","",SUMIFS('Leave Records'!$I:$I,'Leave Records'!$B:$B,$B99,'Leave Records'!$K:$K,"Approved",'Leave Records'!$F:$F,"&gt;="&amp;DATE(Config!$I$7,8,1),'Leave Records'!$F:$F,"&lt;="&amp;EOMONTH(DATE(Config!$I$7,8,1),0)))</f>
        <v/>
      </c>
      <c r="L99" s="8" t="str">
        <f>IF($B99="","",SUMIFS('Leave Records'!$I:$I,'Leave Records'!$B:$B,$B99,'Leave Records'!$K:$K,"Approved",'Leave Records'!$F:$F,"&gt;="&amp;DATE(Config!$I$7,9,1),'Leave Records'!$F:$F,"&lt;="&amp;EOMONTH(DATE(Config!$I$7,9,1),0)))</f>
        <v/>
      </c>
      <c r="M99" s="10" t="str">
        <f>IF($B99="","",SUMIFS('Leave Records'!$I:$I,'Leave Records'!$B:$B,$B99,'Leave Records'!$K:$K,"Approved",'Leave Records'!$F:$F,"&gt;="&amp;DATE(Config!$I$7,10,1),'Leave Records'!$F:$F,"&lt;="&amp;EOMONTH(DATE(Config!$I$7,10,1),0)))</f>
        <v/>
      </c>
      <c r="N99" s="10" t="str">
        <f>IF($B99="","",SUMIFS('Leave Records'!$I:$I,'Leave Records'!$B:$B,$B99,'Leave Records'!$K:$K,"Approved",'Leave Records'!$F:$F,"&gt;="&amp;DATE(Config!$I$7,11,1),'Leave Records'!$F:$F,"&lt;="&amp;EOMONTH(DATE(Config!$I$7,11,1),0)))</f>
        <v/>
      </c>
      <c r="O99" s="8" t="str">
        <f>IF($B99="","",SUMIFS('Leave Records'!$I:$I,'Leave Records'!$B:$B,$B99,'Leave Records'!$K:$K,"Approved",'Leave Records'!$F:$F,"&gt;="&amp;DATE(Config!$I$7,12,1),'Leave Records'!$F:$F,"&lt;="&amp;EOMONTH(DATE(Config!$I$7,12,1),0)))</f>
        <v/>
      </c>
      <c r="P99" s="11" t="str">
        <f t="shared" si="3"/>
        <v/>
      </c>
    </row>
    <row r="100" ht="17" customHeight="1" spans="1:16">
      <c r="A100" s="5" t="str">
        <f t="shared" si="2"/>
        <v/>
      </c>
      <c r="B100" s="12" t="str">
        <f>IF(Config!$B$102="","",Config!$B$102)</f>
        <v/>
      </c>
      <c r="C100" s="13" t="str">
        <f>IF(Config!$B$102="","",Config!$C$102)</f>
        <v/>
      </c>
      <c r="D100" s="9" t="str">
        <f>IF($B100="","",SUMIFS('Leave Records'!$I:$I,'Leave Records'!$B:$B,$B100,'Leave Records'!$K:$K,"Approved",'Leave Records'!$F:$F,"&gt;="&amp;DATE(Config!$I$7,1,1),'Leave Records'!$F:$F,"&lt;="&amp;EOMONTH(DATE(Config!$I$7,1,1),0)))</f>
        <v/>
      </c>
      <c r="E100" s="9" t="str">
        <f>IF($B100="","",SUMIFS('Leave Records'!$I:$I,'Leave Records'!$B:$B,$B100,'Leave Records'!$K:$K,"Approved",'Leave Records'!$F:$F,"&gt;="&amp;DATE(Config!$I$7,2,1),'Leave Records'!$F:$F,"&lt;="&amp;EOMONTH(DATE(Config!$I$7,2,1),0)))</f>
        <v/>
      </c>
      <c r="F100" s="9" t="str">
        <f>IF($B100="","",SUMIFS('Leave Records'!$I:$I,'Leave Records'!$B:$B,$B100,'Leave Records'!$K:$K,"Approved",'Leave Records'!$F:$F,"&gt;="&amp;DATE(Config!$I$7,3,1),'Leave Records'!$F:$F,"&lt;="&amp;EOMONTH(DATE(Config!$I$7,3,1),0)))</f>
        <v/>
      </c>
      <c r="G100" s="9" t="str">
        <f>IF($B100="","",SUMIFS('Leave Records'!$I:$I,'Leave Records'!$B:$B,$B100,'Leave Records'!$K:$K,"Approved",'Leave Records'!$F:$F,"&gt;="&amp;DATE(Config!$I$7,4,1),'Leave Records'!$F:$F,"&lt;="&amp;EOMONTH(DATE(Config!$I$7,4,1),0)))</f>
        <v/>
      </c>
      <c r="H100" s="9" t="str">
        <f>IF($B100="","",SUMIFS('Leave Records'!$I:$I,'Leave Records'!$B:$B,$B100,'Leave Records'!$K:$K,"Approved",'Leave Records'!$F:$F,"&gt;="&amp;DATE(Config!$I$7,5,1),'Leave Records'!$F:$F,"&lt;="&amp;EOMONTH(DATE(Config!$I$7,5,1),0)))</f>
        <v/>
      </c>
      <c r="I100" s="9" t="str">
        <f>IF($B100="","",SUMIFS('Leave Records'!$I:$I,'Leave Records'!$B:$B,$B100,'Leave Records'!$K:$K,"Approved",'Leave Records'!$F:$F,"&gt;="&amp;DATE(Config!$I$7,6,1),'Leave Records'!$F:$F,"&lt;="&amp;EOMONTH(DATE(Config!$I$7,6,1),0)))</f>
        <v/>
      </c>
      <c r="J100" s="9" t="str">
        <f>IF($B100="","",SUMIFS('Leave Records'!$I:$I,'Leave Records'!$B:$B,$B100,'Leave Records'!$K:$K,"Approved",'Leave Records'!$F:$F,"&gt;="&amp;DATE(Config!$I$7,7,1),'Leave Records'!$F:$F,"&lt;="&amp;EOMONTH(DATE(Config!$I$7,7,1),0)))</f>
        <v/>
      </c>
      <c r="K100" s="9" t="str">
        <f>IF($B100="","",SUMIFS('Leave Records'!$I:$I,'Leave Records'!$B:$B,$B100,'Leave Records'!$K:$K,"Approved",'Leave Records'!$F:$F,"&gt;="&amp;DATE(Config!$I$7,8,1),'Leave Records'!$F:$F,"&lt;="&amp;EOMONTH(DATE(Config!$I$7,8,1),0)))</f>
        <v/>
      </c>
      <c r="L100" s="9" t="str">
        <f>IF($B100="","",SUMIFS('Leave Records'!$I:$I,'Leave Records'!$B:$B,$B100,'Leave Records'!$K:$K,"Approved",'Leave Records'!$F:$F,"&gt;="&amp;DATE(Config!$I$7,9,1),'Leave Records'!$F:$F,"&lt;="&amp;EOMONTH(DATE(Config!$I$7,9,1),0)))</f>
        <v/>
      </c>
      <c r="M100" s="9" t="str">
        <f>IF($B100="","",SUMIFS('Leave Records'!$I:$I,'Leave Records'!$B:$B,$B100,'Leave Records'!$K:$K,"Approved",'Leave Records'!$F:$F,"&gt;="&amp;DATE(Config!$I$7,10,1),'Leave Records'!$F:$F,"&lt;="&amp;EOMONTH(DATE(Config!$I$7,10,1),0)))</f>
        <v/>
      </c>
      <c r="N100" s="9" t="str">
        <f>IF($B100="","",SUMIFS('Leave Records'!$I:$I,'Leave Records'!$B:$B,$B100,'Leave Records'!$K:$K,"Approved",'Leave Records'!$F:$F,"&gt;="&amp;DATE(Config!$I$7,11,1),'Leave Records'!$F:$F,"&lt;="&amp;EOMONTH(DATE(Config!$I$7,11,1),0)))</f>
        <v/>
      </c>
      <c r="O100" s="9" t="str">
        <f>IF($B100="","",SUMIFS('Leave Records'!$I:$I,'Leave Records'!$B:$B,$B100,'Leave Records'!$K:$K,"Approved",'Leave Records'!$F:$F,"&gt;="&amp;DATE(Config!$I$7,12,1),'Leave Records'!$F:$F,"&lt;="&amp;EOMONTH(DATE(Config!$I$7,12,1),0)))</f>
        <v/>
      </c>
      <c r="P100" s="14" t="str">
        <f t="shared" si="3"/>
        <v/>
      </c>
    </row>
    <row r="101" ht="17" customHeight="1" spans="1:16">
      <c r="A101" s="5" t="str">
        <f t="shared" si="2"/>
        <v/>
      </c>
      <c r="B101" s="6" t="str">
        <f>IF(Config!$B$103="","",Config!$B$103)</f>
        <v/>
      </c>
      <c r="C101" s="7" t="str">
        <f>IF(Config!$B$103="","",Config!$C$103)</f>
        <v/>
      </c>
      <c r="D101" s="8" t="str">
        <f>IF($B101="","",SUMIFS('Leave Records'!$I:$I,'Leave Records'!$B:$B,$B101,'Leave Records'!$K:$K,"Approved",'Leave Records'!$F:$F,"&gt;="&amp;DATE(Config!$I$7,1,1),'Leave Records'!$F:$F,"&lt;="&amp;EOMONTH(DATE(Config!$I$7,1,1),0)))</f>
        <v/>
      </c>
      <c r="E101" s="9" t="str">
        <f>IF($B101="","",SUMIFS('Leave Records'!$I:$I,'Leave Records'!$B:$B,$B101,'Leave Records'!$K:$K,"Approved",'Leave Records'!$F:$F,"&gt;="&amp;DATE(Config!$I$7,2,1),'Leave Records'!$F:$F,"&lt;="&amp;EOMONTH(DATE(Config!$I$7,2,1),0)))</f>
        <v/>
      </c>
      <c r="F101" s="8" t="str">
        <f>IF($B101="","",SUMIFS('Leave Records'!$I:$I,'Leave Records'!$B:$B,$B101,'Leave Records'!$K:$K,"Approved",'Leave Records'!$F:$F,"&gt;="&amp;DATE(Config!$I$7,3,1),'Leave Records'!$F:$F,"&lt;="&amp;EOMONTH(DATE(Config!$I$7,3,1),0)))</f>
        <v/>
      </c>
      <c r="G101" s="10" t="str">
        <f>IF($B101="","",SUMIFS('Leave Records'!$I:$I,'Leave Records'!$B:$B,$B101,'Leave Records'!$K:$K,"Approved",'Leave Records'!$F:$F,"&gt;="&amp;DATE(Config!$I$7,4,1),'Leave Records'!$F:$F,"&lt;="&amp;EOMONTH(DATE(Config!$I$7,4,1),0)))</f>
        <v/>
      </c>
      <c r="H101" s="10" t="str">
        <f>IF($B101="","",SUMIFS('Leave Records'!$I:$I,'Leave Records'!$B:$B,$B101,'Leave Records'!$K:$K,"Approved",'Leave Records'!$F:$F,"&gt;="&amp;DATE(Config!$I$7,5,1),'Leave Records'!$F:$F,"&lt;="&amp;EOMONTH(DATE(Config!$I$7,5,1),0)))</f>
        <v/>
      </c>
      <c r="I101" s="8" t="str">
        <f>IF($B101="","",SUMIFS('Leave Records'!$I:$I,'Leave Records'!$B:$B,$B101,'Leave Records'!$K:$K,"Approved",'Leave Records'!$F:$F,"&gt;="&amp;DATE(Config!$I$7,6,1),'Leave Records'!$F:$F,"&lt;="&amp;EOMONTH(DATE(Config!$I$7,6,1),0)))</f>
        <v/>
      </c>
      <c r="J101" s="8" t="str">
        <f>IF($B101="","",SUMIFS('Leave Records'!$I:$I,'Leave Records'!$B:$B,$B101,'Leave Records'!$K:$K,"Approved",'Leave Records'!$F:$F,"&gt;="&amp;DATE(Config!$I$7,7,1),'Leave Records'!$F:$F,"&lt;="&amp;EOMONTH(DATE(Config!$I$7,7,1),0)))</f>
        <v/>
      </c>
      <c r="K101" s="9" t="str">
        <f>IF($B101="","",SUMIFS('Leave Records'!$I:$I,'Leave Records'!$B:$B,$B101,'Leave Records'!$K:$K,"Approved",'Leave Records'!$F:$F,"&gt;="&amp;DATE(Config!$I$7,8,1),'Leave Records'!$F:$F,"&lt;="&amp;EOMONTH(DATE(Config!$I$7,8,1),0)))</f>
        <v/>
      </c>
      <c r="L101" s="8" t="str">
        <f>IF($B101="","",SUMIFS('Leave Records'!$I:$I,'Leave Records'!$B:$B,$B101,'Leave Records'!$K:$K,"Approved",'Leave Records'!$F:$F,"&gt;="&amp;DATE(Config!$I$7,9,1),'Leave Records'!$F:$F,"&lt;="&amp;EOMONTH(DATE(Config!$I$7,9,1),0)))</f>
        <v/>
      </c>
      <c r="M101" s="10" t="str">
        <f>IF($B101="","",SUMIFS('Leave Records'!$I:$I,'Leave Records'!$B:$B,$B101,'Leave Records'!$K:$K,"Approved",'Leave Records'!$F:$F,"&gt;="&amp;DATE(Config!$I$7,10,1),'Leave Records'!$F:$F,"&lt;="&amp;EOMONTH(DATE(Config!$I$7,10,1),0)))</f>
        <v/>
      </c>
      <c r="N101" s="10" t="str">
        <f>IF($B101="","",SUMIFS('Leave Records'!$I:$I,'Leave Records'!$B:$B,$B101,'Leave Records'!$K:$K,"Approved",'Leave Records'!$F:$F,"&gt;="&amp;DATE(Config!$I$7,11,1),'Leave Records'!$F:$F,"&lt;="&amp;EOMONTH(DATE(Config!$I$7,11,1),0)))</f>
        <v/>
      </c>
      <c r="O101" s="8" t="str">
        <f>IF($B101="","",SUMIFS('Leave Records'!$I:$I,'Leave Records'!$B:$B,$B101,'Leave Records'!$K:$K,"Approved",'Leave Records'!$F:$F,"&gt;="&amp;DATE(Config!$I$7,12,1),'Leave Records'!$F:$F,"&lt;="&amp;EOMONTH(DATE(Config!$I$7,12,1),0)))</f>
        <v/>
      </c>
      <c r="P101" s="11" t="str">
        <f t="shared" si="3"/>
        <v/>
      </c>
    </row>
    <row r="102" ht="17" customHeight="1" spans="1:16">
      <c r="A102" s="5" t="str">
        <f t="shared" si="2"/>
        <v/>
      </c>
      <c r="B102" s="12" t="str">
        <f>IF(Config!$B$104="","",Config!$B$104)</f>
        <v/>
      </c>
      <c r="C102" s="13" t="str">
        <f>IF(Config!$B$104="","",Config!$C$104)</f>
        <v/>
      </c>
      <c r="D102" s="9" t="str">
        <f>IF($B102="","",SUMIFS('Leave Records'!$I:$I,'Leave Records'!$B:$B,$B102,'Leave Records'!$K:$K,"Approved",'Leave Records'!$F:$F,"&gt;="&amp;DATE(Config!$I$7,1,1),'Leave Records'!$F:$F,"&lt;="&amp;EOMONTH(DATE(Config!$I$7,1,1),0)))</f>
        <v/>
      </c>
      <c r="E102" s="9" t="str">
        <f>IF($B102="","",SUMIFS('Leave Records'!$I:$I,'Leave Records'!$B:$B,$B102,'Leave Records'!$K:$K,"Approved",'Leave Records'!$F:$F,"&gt;="&amp;DATE(Config!$I$7,2,1),'Leave Records'!$F:$F,"&lt;="&amp;EOMONTH(DATE(Config!$I$7,2,1),0)))</f>
        <v/>
      </c>
      <c r="F102" s="9" t="str">
        <f>IF($B102="","",SUMIFS('Leave Records'!$I:$I,'Leave Records'!$B:$B,$B102,'Leave Records'!$K:$K,"Approved",'Leave Records'!$F:$F,"&gt;="&amp;DATE(Config!$I$7,3,1),'Leave Records'!$F:$F,"&lt;="&amp;EOMONTH(DATE(Config!$I$7,3,1),0)))</f>
        <v/>
      </c>
      <c r="G102" s="9" t="str">
        <f>IF($B102="","",SUMIFS('Leave Records'!$I:$I,'Leave Records'!$B:$B,$B102,'Leave Records'!$K:$K,"Approved",'Leave Records'!$F:$F,"&gt;="&amp;DATE(Config!$I$7,4,1),'Leave Records'!$F:$F,"&lt;="&amp;EOMONTH(DATE(Config!$I$7,4,1),0)))</f>
        <v/>
      </c>
      <c r="H102" s="9" t="str">
        <f>IF($B102="","",SUMIFS('Leave Records'!$I:$I,'Leave Records'!$B:$B,$B102,'Leave Records'!$K:$K,"Approved",'Leave Records'!$F:$F,"&gt;="&amp;DATE(Config!$I$7,5,1),'Leave Records'!$F:$F,"&lt;="&amp;EOMONTH(DATE(Config!$I$7,5,1),0)))</f>
        <v/>
      </c>
      <c r="I102" s="9" t="str">
        <f>IF($B102="","",SUMIFS('Leave Records'!$I:$I,'Leave Records'!$B:$B,$B102,'Leave Records'!$K:$K,"Approved",'Leave Records'!$F:$F,"&gt;="&amp;DATE(Config!$I$7,6,1),'Leave Records'!$F:$F,"&lt;="&amp;EOMONTH(DATE(Config!$I$7,6,1),0)))</f>
        <v/>
      </c>
      <c r="J102" s="9" t="str">
        <f>IF($B102="","",SUMIFS('Leave Records'!$I:$I,'Leave Records'!$B:$B,$B102,'Leave Records'!$K:$K,"Approved",'Leave Records'!$F:$F,"&gt;="&amp;DATE(Config!$I$7,7,1),'Leave Records'!$F:$F,"&lt;="&amp;EOMONTH(DATE(Config!$I$7,7,1),0)))</f>
        <v/>
      </c>
      <c r="K102" s="9" t="str">
        <f>IF($B102="","",SUMIFS('Leave Records'!$I:$I,'Leave Records'!$B:$B,$B102,'Leave Records'!$K:$K,"Approved",'Leave Records'!$F:$F,"&gt;="&amp;DATE(Config!$I$7,8,1),'Leave Records'!$F:$F,"&lt;="&amp;EOMONTH(DATE(Config!$I$7,8,1),0)))</f>
        <v/>
      </c>
      <c r="L102" s="9" t="str">
        <f>IF($B102="","",SUMIFS('Leave Records'!$I:$I,'Leave Records'!$B:$B,$B102,'Leave Records'!$K:$K,"Approved",'Leave Records'!$F:$F,"&gt;="&amp;DATE(Config!$I$7,9,1),'Leave Records'!$F:$F,"&lt;="&amp;EOMONTH(DATE(Config!$I$7,9,1),0)))</f>
        <v/>
      </c>
      <c r="M102" s="9" t="str">
        <f>IF($B102="","",SUMIFS('Leave Records'!$I:$I,'Leave Records'!$B:$B,$B102,'Leave Records'!$K:$K,"Approved",'Leave Records'!$F:$F,"&gt;="&amp;DATE(Config!$I$7,10,1),'Leave Records'!$F:$F,"&lt;="&amp;EOMONTH(DATE(Config!$I$7,10,1),0)))</f>
        <v/>
      </c>
      <c r="N102" s="9" t="str">
        <f>IF($B102="","",SUMIFS('Leave Records'!$I:$I,'Leave Records'!$B:$B,$B102,'Leave Records'!$K:$K,"Approved",'Leave Records'!$F:$F,"&gt;="&amp;DATE(Config!$I$7,11,1),'Leave Records'!$F:$F,"&lt;="&amp;EOMONTH(DATE(Config!$I$7,11,1),0)))</f>
        <v/>
      </c>
      <c r="O102" s="9" t="str">
        <f>IF($B102="","",SUMIFS('Leave Records'!$I:$I,'Leave Records'!$B:$B,$B102,'Leave Records'!$K:$K,"Approved",'Leave Records'!$F:$F,"&gt;="&amp;DATE(Config!$I$7,12,1),'Leave Records'!$F:$F,"&lt;="&amp;EOMONTH(DATE(Config!$I$7,12,1),0)))</f>
        <v/>
      </c>
      <c r="P102" s="14" t="str">
        <f t="shared" si="3"/>
        <v/>
      </c>
    </row>
    <row r="103" ht="17" customHeight="1" spans="1:16">
      <c r="A103" s="5" t="str">
        <f t="shared" si="2"/>
        <v/>
      </c>
      <c r="B103" s="6" t="str">
        <f>IF(Config!$B$105="","",Config!$B$105)</f>
        <v/>
      </c>
      <c r="C103" s="7" t="str">
        <f>IF(Config!$B$105="","",Config!$C$105)</f>
        <v/>
      </c>
      <c r="D103" s="8" t="str">
        <f>IF($B103="","",SUMIFS('Leave Records'!$I:$I,'Leave Records'!$B:$B,$B103,'Leave Records'!$K:$K,"Approved",'Leave Records'!$F:$F,"&gt;="&amp;DATE(Config!$I$7,1,1),'Leave Records'!$F:$F,"&lt;="&amp;EOMONTH(DATE(Config!$I$7,1,1),0)))</f>
        <v/>
      </c>
      <c r="E103" s="9" t="str">
        <f>IF($B103="","",SUMIFS('Leave Records'!$I:$I,'Leave Records'!$B:$B,$B103,'Leave Records'!$K:$K,"Approved",'Leave Records'!$F:$F,"&gt;="&amp;DATE(Config!$I$7,2,1),'Leave Records'!$F:$F,"&lt;="&amp;EOMONTH(DATE(Config!$I$7,2,1),0)))</f>
        <v/>
      </c>
      <c r="F103" s="8" t="str">
        <f>IF($B103="","",SUMIFS('Leave Records'!$I:$I,'Leave Records'!$B:$B,$B103,'Leave Records'!$K:$K,"Approved",'Leave Records'!$F:$F,"&gt;="&amp;DATE(Config!$I$7,3,1),'Leave Records'!$F:$F,"&lt;="&amp;EOMONTH(DATE(Config!$I$7,3,1),0)))</f>
        <v/>
      </c>
      <c r="G103" s="10" t="str">
        <f>IF($B103="","",SUMIFS('Leave Records'!$I:$I,'Leave Records'!$B:$B,$B103,'Leave Records'!$K:$K,"Approved",'Leave Records'!$F:$F,"&gt;="&amp;DATE(Config!$I$7,4,1),'Leave Records'!$F:$F,"&lt;="&amp;EOMONTH(DATE(Config!$I$7,4,1),0)))</f>
        <v/>
      </c>
      <c r="H103" s="10" t="str">
        <f>IF($B103="","",SUMIFS('Leave Records'!$I:$I,'Leave Records'!$B:$B,$B103,'Leave Records'!$K:$K,"Approved",'Leave Records'!$F:$F,"&gt;="&amp;DATE(Config!$I$7,5,1),'Leave Records'!$F:$F,"&lt;="&amp;EOMONTH(DATE(Config!$I$7,5,1),0)))</f>
        <v/>
      </c>
      <c r="I103" s="8" t="str">
        <f>IF($B103="","",SUMIFS('Leave Records'!$I:$I,'Leave Records'!$B:$B,$B103,'Leave Records'!$K:$K,"Approved",'Leave Records'!$F:$F,"&gt;="&amp;DATE(Config!$I$7,6,1),'Leave Records'!$F:$F,"&lt;="&amp;EOMONTH(DATE(Config!$I$7,6,1),0)))</f>
        <v/>
      </c>
      <c r="J103" s="8" t="str">
        <f>IF($B103="","",SUMIFS('Leave Records'!$I:$I,'Leave Records'!$B:$B,$B103,'Leave Records'!$K:$K,"Approved",'Leave Records'!$F:$F,"&gt;="&amp;DATE(Config!$I$7,7,1),'Leave Records'!$F:$F,"&lt;="&amp;EOMONTH(DATE(Config!$I$7,7,1),0)))</f>
        <v/>
      </c>
      <c r="K103" s="9" t="str">
        <f>IF($B103="","",SUMIFS('Leave Records'!$I:$I,'Leave Records'!$B:$B,$B103,'Leave Records'!$K:$K,"Approved",'Leave Records'!$F:$F,"&gt;="&amp;DATE(Config!$I$7,8,1),'Leave Records'!$F:$F,"&lt;="&amp;EOMONTH(DATE(Config!$I$7,8,1),0)))</f>
        <v/>
      </c>
      <c r="L103" s="8" t="str">
        <f>IF($B103="","",SUMIFS('Leave Records'!$I:$I,'Leave Records'!$B:$B,$B103,'Leave Records'!$K:$K,"Approved",'Leave Records'!$F:$F,"&gt;="&amp;DATE(Config!$I$7,9,1),'Leave Records'!$F:$F,"&lt;="&amp;EOMONTH(DATE(Config!$I$7,9,1),0)))</f>
        <v/>
      </c>
      <c r="M103" s="10" t="str">
        <f>IF($B103="","",SUMIFS('Leave Records'!$I:$I,'Leave Records'!$B:$B,$B103,'Leave Records'!$K:$K,"Approved",'Leave Records'!$F:$F,"&gt;="&amp;DATE(Config!$I$7,10,1),'Leave Records'!$F:$F,"&lt;="&amp;EOMONTH(DATE(Config!$I$7,10,1),0)))</f>
        <v/>
      </c>
      <c r="N103" s="10" t="str">
        <f>IF($B103="","",SUMIFS('Leave Records'!$I:$I,'Leave Records'!$B:$B,$B103,'Leave Records'!$K:$K,"Approved",'Leave Records'!$F:$F,"&gt;="&amp;DATE(Config!$I$7,11,1),'Leave Records'!$F:$F,"&lt;="&amp;EOMONTH(DATE(Config!$I$7,11,1),0)))</f>
        <v/>
      </c>
      <c r="O103" s="8" t="str">
        <f>IF($B103="","",SUMIFS('Leave Records'!$I:$I,'Leave Records'!$B:$B,$B103,'Leave Records'!$K:$K,"Approved",'Leave Records'!$F:$F,"&gt;="&amp;DATE(Config!$I$7,12,1),'Leave Records'!$F:$F,"&lt;="&amp;EOMONTH(DATE(Config!$I$7,12,1),0)))</f>
        <v/>
      </c>
      <c r="P103" s="11" t="str">
        <f t="shared" si="3"/>
        <v/>
      </c>
    </row>
    <row r="104" ht="17" customHeight="1" spans="1:16">
      <c r="A104" s="5" t="str">
        <f t="shared" si="2"/>
        <v/>
      </c>
      <c r="B104" s="12" t="str">
        <f>IF(Config!$B$106="","",Config!$B$106)</f>
        <v/>
      </c>
      <c r="C104" s="13" t="str">
        <f>IF(Config!$B$106="","",Config!$C$106)</f>
        <v/>
      </c>
      <c r="D104" s="9" t="str">
        <f>IF($B104="","",SUMIFS('Leave Records'!$I:$I,'Leave Records'!$B:$B,$B104,'Leave Records'!$K:$K,"Approved",'Leave Records'!$F:$F,"&gt;="&amp;DATE(Config!$I$7,1,1),'Leave Records'!$F:$F,"&lt;="&amp;EOMONTH(DATE(Config!$I$7,1,1),0)))</f>
        <v/>
      </c>
      <c r="E104" s="9" t="str">
        <f>IF($B104="","",SUMIFS('Leave Records'!$I:$I,'Leave Records'!$B:$B,$B104,'Leave Records'!$K:$K,"Approved",'Leave Records'!$F:$F,"&gt;="&amp;DATE(Config!$I$7,2,1),'Leave Records'!$F:$F,"&lt;="&amp;EOMONTH(DATE(Config!$I$7,2,1),0)))</f>
        <v/>
      </c>
      <c r="F104" s="9" t="str">
        <f>IF($B104="","",SUMIFS('Leave Records'!$I:$I,'Leave Records'!$B:$B,$B104,'Leave Records'!$K:$K,"Approved",'Leave Records'!$F:$F,"&gt;="&amp;DATE(Config!$I$7,3,1),'Leave Records'!$F:$F,"&lt;="&amp;EOMONTH(DATE(Config!$I$7,3,1),0)))</f>
        <v/>
      </c>
      <c r="G104" s="9" t="str">
        <f>IF($B104="","",SUMIFS('Leave Records'!$I:$I,'Leave Records'!$B:$B,$B104,'Leave Records'!$K:$K,"Approved",'Leave Records'!$F:$F,"&gt;="&amp;DATE(Config!$I$7,4,1),'Leave Records'!$F:$F,"&lt;="&amp;EOMONTH(DATE(Config!$I$7,4,1),0)))</f>
        <v/>
      </c>
      <c r="H104" s="9" t="str">
        <f>IF($B104="","",SUMIFS('Leave Records'!$I:$I,'Leave Records'!$B:$B,$B104,'Leave Records'!$K:$K,"Approved",'Leave Records'!$F:$F,"&gt;="&amp;DATE(Config!$I$7,5,1),'Leave Records'!$F:$F,"&lt;="&amp;EOMONTH(DATE(Config!$I$7,5,1),0)))</f>
        <v/>
      </c>
      <c r="I104" s="9" t="str">
        <f>IF($B104="","",SUMIFS('Leave Records'!$I:$I,'Leave Records'!$B:$B,$B104,'Leave Records'!$K:$K,"Approved",'Leave Records'!$F:$F,"&gt;="&amp;DATE(Config!$I$7,6,1),'Leave Records'!$F:$F,"&lt;="&amp;EOMONTH(DATE(Config!$I$7,6,1),0)))</f>
        <v/>
      </c>
      <c r="J104" s="9" t="str">
        <f>IF($B104="","",SUMIFS('Leave Records'!$I:$I,'Leave Records'!$B:$B,$B104,'Leave Records'!$K:$K,"Approved",'Leave Records'!$F:$F,"&gt;="&amp;DATE(Config!$I$7,7,1),'Leave Records'!$F:$F,"&lt;="&amp;EOMONTH(DATE(Config!$I$7,7,1),0)))</f>
        <v/>
      </c>
      <c r="K104" s="9" t="str">
        <f>IF($B104="","",SUMIFS('Leave Records'!$I:$I,'Leave Records'!$B:$B,$B104,'Leave Records'!$K:$K,"Approved",'Leave Records'!$F:$F,"&gt;="&amp;DATE(Config!$I$7,8,1),'Leave Records'!$F:$F,"&lt;="&amp;EOMONTH(DATE(Config!$I$7,8,1),0)))</f>
        <v/>
      </c>
      <c r="L104" s="9" t="str">
        <f>IF($B104="","",SUMIFS('Leave Records'!$I:$I,'Leave Records'!$B:$B,$B104,'Leave Records'!$K:$K,"Approved",'Leave Records'!$F:$F,"&gt;="&amp;DATE(Config!$I$7,9,1),'Leave Records'!$F:$F,"&lt;="&amp;EOMONTH(DATE(Config!$I$7,9,1),0)))</f>
        <v/>
      </c>
      <c r="M104" s="9" t="str">
        <f>IF($B104="","",SUMIFS('Leave Records'!$I:$I,'Leave Records'!$B:$B,$B104,'Leave Records'!$K:$K,"Approved",'Leave Records'!$F:$F,"&gt;="&amp;DATE(Config!$I$7,10,1),'Leave Records'!$F:$F,"&lt;="&amp;EOMONTH(DATE(Config!$I$7,10,1),0)))</f>
        <v/>
      </c>
      <c r="N104" s="9" t="str">
        <f>IF($B104="","",SUMIFS('Leave Records'!$I:$I,'Leave Records'!$B:$B,$B104,'Leave Records'!$K:$K,"Approved",'Leave Records'!$F:$F,"&gt;="&amp;DATE(Config!$I$7,11,1),'Leave Records'!$F:$F,"&lt;="&amp;EOMONTH(DATE(Config!$I$7,11,1),0)))</f>
        <v/>
      </c>
      <c r="O104" s="9" t="str">
        <f>IF($B104="","",SUMIFS('Leave Records'!$I:$I,'Leave Records'!$B:$B,$B104,'Leave Records'!$K:$K,"Approved",'Leave Records'!$F:$F,"&gt;="&amp;DATE(Config!$I$7,12,1),'Leave Records'!$F:$F,"&lt;="&amp;EOMONTH(DATE(Config!$I$7,12,1),0)))</f>
        <v/>
      </c>
      <c r="P104" s="14" t="str">
        <f t="shared" si="3"/>
        <v/>
      </c>
    </row>
    <row r="105" ht="20" customHeight="1" spans="1:16">
      <c r="A105" s="3" t="s">
        <v>157</v>
      </c>
      <c r="D105" s="3">
        <f t="shared" ref="D105:P105" si="4">SUM(D5:D104)</f>
        <v>0</v>
      </c>
      <c r="E105" s="3">
        <f t="shared" si="4"/>
        <v>0</v>
      </c>
      <c r="F105" s="3">
        <f t="shared" si="4"/>
        <v>66</v>
      </c>
      <c r="G105" s="3">
        <f t="shared" si="4"/>
        <v>28</v>
      </c>
      <c r="H105" s="3">
        <f t="shared" si="4"/>
        <v>33</v>
      </c>
      <c r="I105" s="3">
        <f t="shared" si="4"/>
        <v>3</v>
      </c>
      <c r="J105" s="3">
        <f t="shared" si="4"/>
        <v>0</v>
      </c>
      <c r="K105" s="3">
        <f t="shared" si="4"/>
        <v>0</v>
      </c>
      <c r="L105" s="3">
        <f t="shared" si="4"/>
        <v>0</v>
      </c>
      <c r="M105" s="3">
        <f t="shared" si="4"/>
        <v>0</v>
      </c>
      <c r="N105" s="3">
        <f t="shared" si="4"/>
        <v>0</v>
      </c>
      <c r="O105" s="3">
        <f t="shared" si="4"/>
        <v>0</v>
      </c>
      <c r="P105" s="3">
        <f t="shared" si="4"/>
        <v>130</v>
      </c>
    </row>
  </sheetData>
  <mergeCells count="5">
    <mergeCell ref="A1:P1"/>
    <mergeCell ref="A2:P2"/>
    <mergeCell ref="A3:C3"/>
    <mergeCell ref="D3:O3"/>
    <mergeCell ref="A105:C10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Leave Records</vt:lpstr>
      <vt:lpstr>Leave Summary</vt:lpstr>
      <vt:lpstr>Monthly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Rasel</cp:lastModifiedBy>
  <dcterms:created xsi:type="dcterms:W3CDTF">2026-06-09T03:39:00Z</dcterms:created>
  <dcterms:modified xsi:type="dcterms:W3CDTF">2026-06-09T05:20:25Z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BBB5CAD682EE4D5FBA475C4621788C34_12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